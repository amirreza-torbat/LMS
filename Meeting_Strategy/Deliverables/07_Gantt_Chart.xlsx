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نظیمات" sheetId="1" state="visible" r:id="rId1"/>
    <sheet xmlns:r="http://schemas.openxmlformats.org/officeDocument/2006/relationships" name="گانت چارت" sheetId="2" state="visible" r:id="rId2"/>
    <sheet xmlns:r="http://schemas.openxmlformats.org/officeDocument/2006/relationships" name="خلاص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1">
    <font>
      <name val="Calibri"/>
      <family val="2"/>
      <color theme="1"/>
      <sz val="11"/>
      <scheme val="minor"/>
    </font>
    <font>
      <name val="Noto Sans CJK SC"/>
      <color rgb="001B2A4A"/>
      <sz val="16"/>
    </font>
    <font>
      <name val="Noto Sans CJK SC"/>
      <color rgb="00FFFFFF"/>
      <sz val="11"/>
    </font>
    <font>
      <name val="Noto Sans CJK SC"/>
      <color rgb="0037352F"/>
      <sz val="11"/>
    </font>
    <font>
      <name val="Noto Sans CJK SC"/>
      <b val="1"/>
      <color rgb="001B2A4A"/>
      <sz val="11"/>
    </font>
    <font>
      <name val="Noto Sans CJK SC"/>
      <b val="1"/>
      <color rgb="00D4820A"/>
      <sz val="11"/>
    </font>
    <font>
      <name val="Noto Sans CJK SC"/>
      <color rgb="008C8A84"/>
      <sz val="10"/>
    </font>
    <font>
      <name val="Noto Sans CJK SC"/>
      <b val="1"/>
      <color rgb="001B2A4A"/>
      <sz val="10"/>
    </font>
    <font>
      <name val="Noto Sans CJK SC"/>
      <b val="1"/>
      <color rgb="00FFFFFF"/>
      <sz val="10"/>
    </font>
    <font>
      <name val="Noto Sans CJK SC"/>
      <color rgb="0037352F"/>
      <sz val="10"/>
    </font>
    <font>
      <name val="Noto Sans CJK SC"/>
      <b val="1"/>
      <color rgb="00FFFFFF"/>
      <sz val="8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D6E4F0"/>
      </patternFill>
    </fill>
    <fill>
      <patternFill patternType="solid">
        <fgColor rgb="00E1D5E7"/>
      </patternFill>
    </fill>
    <fill>
      <patternFill patternType="solid">
        <fgColor rgb="00C0392B"/>
      </patternFill>
    </fill>
    <fill>
      <patternFill patternType="solid">
        <fgColor rgb="008E44AD"/>
      </patternFill>
    </fill>
    <fill>
      <patternFill patternType="solid">
        <fgColor rgb="00D4820A"/>
      </patternFill>
    </fill>
  </fills>
  <borders count="2">
    <border>
      <left/>
      <right/>
      <top/>
      <bottom/>
      <diagonal/>
    </border>
    <border>
      <bottom style="thin">
        <color rgb="00E9E9E8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165" fontId="4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 wrapText="1"/>
    </xf>
    <xf numFmtId="0" fontId="7" fillId="3" borderId="0" applyAlignment="1" pivotButton="0" quotePrefix="0" xfId="0">
      <alignment horizontal="center" vertical="center" wrapText="1"/>
    </xf>
    <xf numFmtId="165" fontId="9" fillId="3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right" vertical="center" wrapText="1"/>
    </xf>
    <xf numFmtId="0" fontId="7" fillId="4" borderId="0" applyAlignment="1" pivotButton="0" quotePrefix="0" xfId="0">
      <alignment horizontal="center" vertical="center" wrapText="1"/>
    </xf>
    <xf numFmtId="165" fontId="9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right" vertical="center" wrapText="1"/>
    </xf>
    <xf numFmtId="165" fontId="7" fillId="5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4" fillId="0" borderId="0" pivotButton="0" quotePrefix="0" xfId="0"/>
    <xf numFmtId="0" fontId="9" fillId="0" borderId="0" pivotButton="0" quotePrefix="0" xfId="0"/>
    <xf numFmtId="0" fontId="0" fillId="7" borderId="0" pivotButton="0" quotePrefix="0" xfId="0"/>
    <xf numFmtId="165" fontId="4" fillId="4" borderId="0" applyAlignment="1" pivotButton="0" quotePrefix="0" xfId="0">
      <alignment horizontal="center" vertical="center"/>
    </xf>
    <xf numFmtId="1" fontId="4" fillId="4" borderId="0" applyAlignment="1" pivotButton="0" quotePrefix="0" xfId="0">
      <alignment horizontal="center" vertical="center"/>
    </xf>
    <xf numFmtId="1" fontId="4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1B2A4A"/>
        </patternFill>
      </fill>
    </dxf>
    <dxf>
      <fill>
        <patternFill patternType="solid">
          <fgColor rgb="00C0392B"/>
        </patternFill>
      </fill>
    </dxf>
    <dxf>
      <fill>
        <patternFill patternType="solid">
          <fgColor rgb="008E44AD"/>
        </patternFill>
      </fill>
    </dxf>
    <dxf>
      <fill>
        <patternFill patternType="solid">
          <fgColor rgb="00D4820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showGridLines="0"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5" customWidth="1" min="2" max="2"/>
    <col width="21" customWidth="1" min="3" max="3"/>
    <col width="45" customWidth="1" min="4" max="4"/>
  </cols>
  <sheetData>
    <row r="1" ht="15" customHeight="1"/>
    <row r="2" ht="32" customHeight="1">
      <c r="B2" s="1" t="inlineStr">
        <is>
          <t>تنظیمات پروژه — قابل ویرایش</t>
        </is>
      </c>
    </row>
    <row r="3" ht="8" customHeight="1"/>
    <row r="4" ht="28" customHeight="1">
      <c r="B4" s="2" t="inlineStr">
        <is>
          <t>پارامتر</t>
        </is>
      </c>
      <c r="C4" s="2" t="inlineStr">
        <is>
          <t>مقدار</t>
        </is>
      </c>
      <c r="D4" s="2" t="inlineStr">
        <is>
          <t>توضیح</t>
        </is>
      </c>
    </row>
    <row r="5" ht="22" customHeight="1">
      <c r="B5" s="3" t="inlineStr">
        <is>
          <t>تاریخ شروع پروژه</t>
        </is>
      </c>
      <c r="C5" s="4" t="n">
        <v>46288</v>
      </c>
      <c r="D5" s="3" t="inlineStr">
        <is>
          <t>تاریخ شروع فاز ۱ (قابل تغییر)</t>
        </is>
      </c>
    </row>
    <row r="6" ht="22" customHeight="1">
      <c r="B6" s="5" t="inlineStr">
        <is>
          <t>روزهای کاری در هفته</t>
        </is>
      </c>
      <c r="C6" s="6" t="n">
        <v>6</v>
      </c>
      <c r="D6" s="5" t="inlineStr">
        <is>
          <t>شنبه تا چهارشنبه</t>
        </is>
      </c>
    </row>
    <row r="7" ht="22" customHeight="1">
      <c r="B7" s="3" t="inlineStr">
        <is>
          <t>فاز ۱ — مدت (روز)</t>
        </is>
      </c>
      <c r="C7" s="7" t="n">
        <v>90</v>
      </c>
      <c r="D7" s="3" t="inlineStr">
        <is>
          <t>هسته + استاندارد سازمانی + استاندارد آکادمیک</t>
        </is>
      </c>
    </row>
    <row r="8" ht="22" customHeight="1">
      <c r="B8" s="5" t="inlineStr">
        <is>
          <t>فاز ۲ — مدت (روز)</t>
        </is>
      </c>
      <c r="C8" s="6" t="n">
        <v>90</v>
      </c>
      <c r="D8" s="5" t="inlineStr">
        <is>
          <t>هوشمند سازمانی + تست و استقرار</t>
        </is>
      </c>
    </row>
    <row r="9" ht="22" customHeight="1">
      <c r="B9" s="3" t="inlineStr">
        <is>
          <t>دوره تست و دیباگ (روز)</t>
        </is>
      </c>
      <c r="C9" s="7" t="n">
        <v>60</v>
      </c>
      <c r="D9" s="3" t="inlineStr">
        <is>
          <t>پس از تحویل نهایی</t>
        </is>
      </c>
    </row>
    <row r="10"/>
    <row r="11"/>
    <row r="12">
      <c r="B12" s="8" t="inlineStr">
        <is>
          <t>نکته:</t>
        </is>
      </c>
    </row>
    <row r="13">
      <c r="B13" s="9" t="inlineStr">
        <is>
          <t>با تغییر مدت تسک‌ها در شیت گانت چارت، تاریخ‌ها به‌صورت خودکار محاسبه می‌شوند.</t>
        </is>
      </c>
    </row>
    <row r="14">
      <c r="B14" s="9" t="inlineStr">
        <is>
          <t>برای به‌روزرسانی نوارهای رنگی، فایل را در Excel باز کرده و F9 را بزنید.</t>
        </is>
      </c>
    </row>
  </sheetData>
  <mergeCells count="1"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M46"/>
  <sheetViews>
    <sheetView showGridLines="0" rightToLeft="1"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32" customWidth="1" min="3" max="3"/>
    <col width="10" customWidth="1" min="4" max="4"/>
    <col width="18" customWidth="1" min="5" max="5"/>
    <col width="10" customWidth="1" min="6" max="6"/>
    <col width="14" customWidth="1" min="7" max="7"/>
    <col width="14" customWidth="1" min="8" max="8"/>
    <col width="1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  <col width="4.5" customWidth="1" min="37" max="37"/>
    <col width="4.5" customWidth="1" min="38" max="38"/>
    <col width="4.5" customWidth="1" min="39" max="39"/>
  </cols>
  <sheetData>
    <row r="1" ht="15" customHeight="1"/>
    <row r="2" ht="32" customHeight="1">
      <c r="B2" s="1" t="inlineStr">
        <is>
          <t>گانت چارت پروژه LMS مگفا — دو فازی</t>
        </is>
      </c>
    </row>
    <row r="3" ht="22" customHeight="1">
      <c r="J3" s="10" t="inlineStr">
        <is>
          <t>فاز ۱: هسته + استاندارد</t>
        </is>
      </c>
      <c r="V3" s="11" t="inlineStr">
        <is>
          <t>فاز ۲: هوشمند + تست</t>
        </is>
      </c>
    </row>
    <row r="4" ht="22" customHeight="1">
      <c r="J4" s="12" t="inlineStr">
        <is>
          <t>ماه ۱</t>
        </is>
      </c>
      <c r="N4" s="12" t="inlineStr">
        <is>
          <t>ماه ۲</t>
        </is>
      </c>
      <c r="R4" s="12" t="inlineStr">
        <is>
          <t>ماه ۳</t>
        </is>
      </c>
      <c r="V4" s="12" t="inlineStr">
        <is>
          <t>ماه ۴</t>
        </is>
      </c>
      <c r="Z4" s="12" t="inlineStr">
        <is>
          <t>ماه ۵</t>
        </is>
      </c>
      <c r="AD4" s="12" t="inlineStr">
        <is>
          <t>ماه ۶</t>
        </is>
      </c>
      <c r="AH4" s="12" t="inlineStr">
        <is>
          <t>ماه ۷</t>
        </is>
      </c>
      <c r="AL4" s="12" t="inlineStr">
        <is>
          <t>ماه ۸</t>
        </is>
      </c>
    </row>
    <row r="5" ht="28" customHeight="1">
      <c r="B5" s="2" t="inlineStr">
        <is>
          <t>کد</t>
        </is>
      </c>
      <c r="C5" s="2" t="inlineStr">
        <is>
          <t>نام تسک</t>
        </is>
      </c>
      <c r="D5" s="2" t="inlineStr">
        <is>
          <t>فاز</t>
        </is>
      </c>
      <c r="E5" s="2" t="inlineStr">
        <is>
          <t>لایه</t>
        </is>
      </c>
      <c r="F5" s="2" t="inlineStr">
        <is>
          <t>مدت (روز)</t>
        </is>
      </c>
      <c r="G5" s="2" t="inlineStr">
        <is>
          <t>تاریخ شروع</t>
        </is>
      </c>
      <c r="H5" s="2" t="inlineStr">
        <is>
          <t>تاریخ پایان</t>
        </is>
      </c>
      <c r="I5" s="2" t="inlineStr">
        <is>
          <t>وابستگی</t>
        </is>
      </c>
      <c r="J5" s="2" t="inlineStr">
        <is>
          <t>H1</t>
        </is>
      </c>
      <c r="K5" s="2" t="inlineStr">
        <is>
          <t>H2</t>
        </is>
      </c>
      <c r="L5" s="2" t="inlineStr">
        <is>
          <t>H3</t>
        </is>
      </c>
      <c r="M5" s="2" t="inlineStr">
        <is>
          <t>H4</t>
        </is>
      </c>
      <c r="N5" s="2" t="inlineStr">
        <is>
          <t>H5</t>
        </is>
      </c>
      <c r="O5" s="2" t="inlineStr">
        <is>
          <t>H6</t>
        </is>
      </c>
      <c r="P5" s="2" t="inlineStr">
        <is>
          <t>H7</t>
        </is>
      </c>
      <c r="Q5" s="2" t="inlineStr">
        <is>
          <t>H8</t>
        </is>
      </c>
      <c r="R5" s="2" t="inlineStr">
        <is>
          <t>H9</t>
        </is>
      </c>
      <c r="S5" s="2" t="inlineStr">
        <is>
          <t>H10</t>
        </is>
      </c>
      <c r="T5" s="2" t="inlineStr">
        <is>
          <t>H11</t>
        </is>
      </c>
      <c r="U5" s="2" t="inlineStr">
        <is>
          <t>H12</t>
        </is>
      </c>
      <c r="V5" s="2" t="inlineStr">
        <is>
          <t>H13</t>
        </is>
      </c>
      <c r="W5" s="2" t="inlineStr">
        <is>
          <t>H14</t>
        </is>
      </c>
      <c r="X5" s="2" t="inlineStr">
        <is>
          <t>H15</t>
        </is>
      </c>
      <c r="Y5" s="2" t="inlineStr">
        <is>
          <t>H16</t>
        </is>
      </c>
      <c r="Z5" s="2" t="inlineStr">
        <is>
          <t>H17</t>
        </is>
      </c>
      <c r="AA5" s="2" t="inlineStr">
        <is>
          <t>H18</t>
        </is>
      </c>
      <c r="AB5" s="2" t="inlineStr">
        <is>
          <t>H19</t>
        </is>
      </c>
      <c r="AC5" s="2" t="inlineStr">
        <is>
          <t>H20</t>
        </is>
      </c>
      <c r="AD5" s="2" t="inlineStr">
        <is>
          <t>H21</t>
        </is>
      </c>
      <c r="AE5" s="2" t="inlineStr">
        <is>
          <t>H22</t>
        </is>
      </c>
      <c r="AF5" s="2" t="inlineStr">
        <is>
          <t>H23</t>
        </is>
      </c>
      <c r="AG5" s="2" t="inlineStr">
        <is>
          <t>H24</t>
        </is>
      </c>
      <c r="AH5" s="2" t="inlineStr">
        <is>
          <t>H25</t>
        </is>
      </c>
      <c r="AI5" s="2" t="inlineStr">
        <is>
          <t>H26</t>
        </is>
      </c>
      <c r="AJ5" s="2" t="inlineStr">
        <is>
          <t>H27</t>
        </is>
      </c>
      <c r="AK5" s="2" t="inlineStr">
        <is>
          <t>H28</t>
        </is>
      </c>
      <c r="AL5" s="2" t="inlineStr">
        <is>
          <t>H29</t>
        </is>
      </c>
      <c r="AM5" s="2" t="inlineStr">
        <is>
          <t>H30</t>
        </is>
      </c>
    </row>
    <row r="6" ht="22" customHeight="1">
      <c r="B6" s="13" t="inlineStr">
        <is>
          <t>P1-01</t>
        </is>
      </c>
      <c r="C6" s="14" t="inlineStr">
        <is>
          <t>تحلیل و طراحی معماری</t>
        </is>
      </c>
      <c r="D6" s="13" t="inlineStr">
        <is>
          <t>فاز ۱</t>
        </is>
      </c>
      <c r="E6" s="13" t="inlineStr">
        <is>
          <t>هسته</t>
        </is>
      </c>
      <c r="F6" s="15" t="n">
        <v>15</v>
      </c>
      <c r="G6" s="16">
        <f>'تنظیمات'!$C$5</f>
        <v/>
      </c>
      <c r="H6" s="16">
        <f>G6+F6</f>
        <v/>
      </c>
      <c r="I6" s="13" t="inlineStr"/>
      <c r="J6" s="17" t="n"/>
      <c r="K6" s="17" t="n"/>
      <c r="L6" s="17" t="n"/>
    </row>
    <row r="7" ht="22" customHeight="1">
      <c r="B7" s="18" t="inlineStr">
        <is>
          <t>P1-02</t>
        </is>
      </c>
      <c r="C7" s="19" t="inlineStr">
        <is>
          <t>مدیریت هویت و دسترسی (Auth)</t>
        </is>
      </c>
      <c r="D7" s="18" t="inlineStr">
        <is>
          <t>فاز ۱</t>
        </is>
      </c>
      <c r="E7" s="18" t="inlineStr">
        <is>
          <t>هسته</t>
        </is>
      </c>
      <c r="F7" s="20" t="n">
        <v>20</v>
      </c>
      <c r="G7" s="21">
        <f>MAX(H6)</f>
        <v/>
      </c>
      <c r="H7" s="21">
        <f>G7+F7</f>
        <v/>
      </c>
      <c r="I7" s="18" t="inlineStr">
        <is>
          <t>P1-01</t>
        </is>
      </c>
      <c r="L7" s="17" t="n"/>
      <c r="M7" s="17" t="n"/>
      <c r="N7" s="17" t="n"/>
    </row>
    <row r="8" ht="22" customHeight="1">
      <c r="B8" s="13" t="inlineStr">
        <is>
          <t>P1-03</t>
        </is>
      </c>
      <c r="C8" s="14" t="inlineStr">
        <is>
          <t>ساختار محتوا و دوره (Course Entity)</t>
        </is>
      </c>
      <c r="D8" s="13" t="inlineStr">
        <is>
          <t>فاز ۱</t>
        </is>
      </c>
      <c r="E8" s="13" t="inlineStr">
        <is>
          <t>هسته</t>
        </is>
      </c>
      <c r="F8" s="15" t="n">
        <v>20</v>
      </c>
      <c r="G8" s="16">
        <f>MAX(H6)</f>
        <v/>
      </c>
      <c r="H8" s="16">
        <f>G8+F8</f>
        <v/>
      </c>
      <c r="I8" s="13" t="inlineStr">
        <is>
          <t>P1-01</t>
        </is>
      </c>
      <c r="L8" s="17" t="n"/>
      <c r="M8" s="17" t="n"/>
      <c r="N8" s="17" t="n"/>
    </row>
    <row r="9" ht="22" customHeight="1">
      <c r="B9" s="18" t="inlineStr">
        <is>
          <t>P1-04</t>
        </is>
      </c>
      <c r="C9" s="19" t="inlineStr">
        <is>
          <t>زیرساخت ایونت (Event Bus)</t>
        </is>
      </c>
      <c r="D9" s="18" t="inlineStr">
        <is>
          <t>فاز ۱</t>
        </is>
      </c>
      <c r="E9" s="18" t="inlineStr">
        <is>
          <t>هسته</t>
        </is>
      </c>
      <c r="F9" s="20" t="n">
        <v>15</v>
      </c>
      <c r="G9" s="21">
        <f>MAX(H6)</f>
        <v/>
      </c>
      <c r="H9" s="21">
        <f>G9+F9</f>
        <v/>
      </c>
      <c r="I9" s="18" t="inlineStr">
        <is>
          <t>P1-01</t>
        </is>
      </c>
      <c r="L9" s="17" t="n"/>
      <c r="M9" s="17" t="n"/>
      <c r="N9" s="17" t="n"/>
    </row>
    <row r="10" ht="22" customHeight="1">
      <c r="B10" s="13" t="inlineStr">
        <is>
          <t>P1-05</t>
        </is>
      </c>
      <c r="C10" s="14" t="inlineStr">
        <is>
          <t>تنظیمات و هسته مرکزی (Plugin Loader)</t>
        </is>
      </c>
      <c r="D10" s="13" t="inlineStr">
        <is>
          <t>فاز ۱</t>
        </is>
      </c>
      <c r="E10" s="13" t="inlineStr">
        <is>
          <t>هسته</t>
        </is>
      </c>
      <c r="F10" s="15" t="n">
        <v>15</v>
      </c>
      <c r="G10" s="16">
        <f>MAX(H6)</f>
        <v/>
      </c>
      <c r="H10" s="16">
        <f>G10+F10</f>
        <v/>
      </c>
      <c r="I10" s="13" t="inlineStr">
        <is>
          <t>P1-01</t>
        </is>
      </c>
      <c r="L10" s="17" t="n"/>
      <c r="M10" s="17" t="n"/>
      <c r="N10" s="17" t="n"/>
    </row>
    <row r="11" ht="22" customHeight="1">
      <c r="B11" s="18" t="inlineStr">
        <is>
          <t>P1-06</t>
        </is>
      </c>
      <c r="C11" s="19" t="inlineStr">
        <is>
          <t>موتور محتوا (Content Delivery)</t>
        </is>
      </c>
      <c r="D11" s="18" t="inlineStr">
        <is>
          <t>فاز ۱</t>
        </is>
      </c>
      <c r="E11" s="18" t="inlineStr">
        <is>
          <t>هسته</t>
        </is>
      </c>
      <c r="F11" s="20" t="n">
        <v>20</v>
      </c>
      <c r="G11" s="21">
        <f>MAX(H8)</f>
        <v/>
      </c>
      <c r="H11" s="21">
        <f>G11+F11</f>
        <v/>
      </c>
      <c r="I11" s="18" t="inlineStr">
        <is>
          <t>P1-03</t>
        </is>
      </c>
      <c r="O11" s="17" t="n"/>
      <c r="P11" s="17" t="n"/>
      <c r="Q11" s="17" t="n"/>
    </row>
    <row r="12" ht="22" customHeight="1">
      <c r="B12" s="13" t="inlineStr">
        <is>
          <t>P1-07</t>
        </is>
      </c>
      <c r="C12" s="14" t="inlineStr">
        <is>
          <t>سیستم ارزیابی (Assessment)</t>
        </is>
      </c>
      <c r="D12" s="13" t="inlineStr">
        <is>
          <t>فاز ۱</t>
        </is>
      </c>
      <c r="E12" s="13" t="inlineStr">
        <is>
          <t>هسته</t>
        </is>
      </c>
      <c r="F12" s="15" t="n">
        <v>20</v>
      </c>
      <c r="G12" s="16">
        <f>MAX(H8)</f>
        <v/>
      </c>
      <c r="H12" s="16">
        <f>G12+F12</f>
        <v/>
      </c>
      <c r="I12" s="13" t="inlineStr">
        <is>
          <t>P1-03</t>
        </is>
      </c>
      <c r="O12" s="17" t="n"/>
      <c r="P12" s="17" t="n"/>
      <c r="Q12" s="17" t="n"/>
    </row>
    <row r="13" ht="22" customHeight="1">
      <c r="B13" s="18" t="inlineStr">
        <is>
          <t>P1-08</t>
        </is>
      </c>
      <c r="C13" s="19" t="inlineStr">
        <is>
          <t>صدور گواهی (Certification)</t>
        </is>
      </c>
      <c r="D13" s="18" t="inlineStr">
        <is>
          <t>فاز ۱</t>
        </is>
      </c>
      <c r="E13" s="18" t="inlineStr">
        <is>
          <t>هسته</t>
        </is>
      </c>
      <c r="F13" s="20" t="n">
        <v>15</v>
      </c>
      <c r="G13" s="21">
        <f>MAX(H8)</f>
        <v/>
      </c>
      <c r="H13" s="21">
        <f>G13+F13</f>
        <v/>
      </c>
      <c r="I13" s="18" t="inlineStr">
        <is>
          <t>P1-03</t>
        </is>
      </c>
      <c r="O13" s="17" t="n"/>
      <c r="P13" s="17" t="n"/>
      <c r="Q13" s="17" t="n"/>
    </row>
    <row r="14" ht="22" customHeight="1">
      <c r="B14" s="13" t="inlineStr">
        <is>
          <t>P1-09</t>
        </is>
      </c>
      <c r="C14" s="14" t="inlineStr">
        <is>
          <t>داشبورد تعاملی</t>
        </is>
      </c>
      <c r="D14" s="13" t="inlineStr">
        <is>
          <t>فاز ۱</t>
        </is>
      </c>
      <c r="E14" s="13" t="inlineStr">
        <is>
          <t>هسته</t>
        </is>
      </c>
      <c r="F14" s="15" t="n">
        <v>15</v>
      </c>
      <c r="G14" s="16">
        <f>MAX(H7)</f>
        <v/>
      </c>
      <c r="H14" s="16">
        <f>G14+F14</f>
        <v/>
      </c>
      <c r="I14" s="13" t="inlineStr">
        <is>
          <t>P1-02</t>
        </is>
      </c>
      <c r="O14" s="17" t="n"/>
      <c r="P14" s="17" t="n"/>
      <c r="Q14" s="17" t="n"/>
    </row>
    <row r="15" ht="22" customHeight="1">
      <c r="B15" s="18" t="inlineStr">
        <is>
          <t>P1-10</t>
        </is>
      </c>
      <c r="C15" s="19" t="inlineStr">
        <is>
          <t>ساختار سازمانی (Hierarchy + RBAC)</t>
        </is>
      </c>
      <c r="D15" s="18" t="inlineStr">
        <is>
          <t>فاز ۱</t>
        </is>
      </c>
      <c r="E15" s="18" t="inlineStr">
        <is>
          <t>سازمانی استاندارد</t>
        </is>
      </c>
      <c r="F15" s="20" t="n">
        <v>20</v>
      </c>
      <c r="G15" s="21">
        <f>MAX(H7)</f>
        <v/>
      </c>
      <c r="H15" s="21">
        <f>G15+F15</f>
        <v/>
      </c>
      <c r="I15" s="18" t="inlineStr">
        <is>
          <t>P1-02</t>
        </is>
      </c>
      <c r="O15" s="17" t="n"/>
      <c r="P15" s="17" t="n"/>
      <c r="Q15" s="17" t="n"/>
    </row>
    <row r="16" ht="22" customHeight="1">
      <c r="B16" s="13" t="inlineStr">
        <is>
          <t>P1-11</t>
        </is>
      </c>
      <c r="C16" s="14" t="inlineStr">
        <is>
          <t>مسیر یادگیری و شایستگی</t>
        </is>
      </c>
      <c r="D16" s="13" t="inlineStr">
        <is>
          <t>فاز ۱</t>
        </is>
      </c>
      <c r="E16" s="13" t="inlineStr">
        <is>
          <t>سازمانی استاندارد</t>
        </is>
      </c>
      <c r="F16" s="15" t="n">
        <v>20</v>
      </c>
      <c r="G16" s="16">
        <f>MAX(H15)</f>
        <v/>
      </c>
      <c r="H16" s="16">
        <f>G16+F16</f>
        <v/>
      </c>
      <c r="I16" s="13" t="inlineStr">
        <is>
          <t>P1-10</t>
        </is>
      </c>
      <c r="Q16" s="17" t="n"/>
      <c r="R16" s="17" t="n"/>
      <c r="S16" s="17" t="n"/>
      <c r="T16" s="17" t="n"/>
    </row>
    <row r="17" ht="22" customHeight="1">
      <c r="B17" s="18" t="inlineStr">
        <is>
          <t>P1-12</t>
        </is>
      </c>
      <c r="C17" s="19" t="inlineStr">
        <is>
          <t>گزارش‌دهی و هوش تجاری (BI)</t>
        </is>
      </c>
      <c r="D17" s="18" t="inlineStr">
        <is>
          <t>فاز ۱</t>
        </is>
      </c>
      <c r="E17" s="18" t="inlineStr">
        <is>
          <t>سازمانی استاندارد</t>
        </is>
      </c>
      <c r="F17" s="20" t="n">
        <v>20</v>
      </c>
      <c r="G17" s="21">
        <f>MAX(H15)</f>
        <v/>
      </c>
      <c r="H17" s="21">
        <f>G17+F17</f>
        <v/>
      </c>
      <c r="I17" s="18" t="inlineStr">
        <is>
          <t>P1-10</t>
        </is>
      </c>
      <c r="Q17" s="17" t="n"/>
      <c r="R17" s="17" t="n"/>
      <c r="S17" s="17" t="n"/>
      <c r="T17" s="17" t="n"/>
    </row>
    <row r="18" ht="22" customHeight="1">
      <c r="B18" s="13" t="inlineStr">
        <is>
          <t>P1-13</t>
        </is>
      </c>
      <c r="C18" s="14" t="inlineStr">
        <is>
          <t>یکپارچگی HRIS</t>
        </is>
      </c>
      <c r="D18" s="13" t="inlineStr">
        <is>
          <t>فاز ۱</t>
        </is>
      </c>
      <c r="E18" s="13" t="inlineStr">
        <is>
          <t>سازمانی استاندارد</t>
        </is>
      </c>
      <c r="F18" s="15" t="n">
        <v>20</v>
      </c>
      <c r="G18" s="16">
        <f>MAX(H15)</f>
        <v/>
      </c>
      <c r="H18" s="16">
        <f>G18+F18</f>
        <v/>
      </c>
      <c r="I18" s="13" t="inlineStr">
        <is>
          <t>P1-10</t>
        </is>
      </c>
      <c r="Q18" s="17" t="n"/>
      <c r="R18" s="17" t="n"/>
      <c r="S18" s="17" t="n"/>
      <c r="T18" s="17" t="n"/>
    </row>
    <row r="19" ht="22" customHeight="1">
      <c r="B19" s="18" t="inlineStr">
        <is>
          <t>P1-14</t>
        </is>
      </c>
      <c r="C19" s="19" t="inlineStr">
        <is>
          <t>ساختار ترمیک و تقویم آموزشی</t>
        </is>
      </c>
      <c r="D19" s="18" t="inlineStr">
        <is>
          <t>فاز ۱</t>
        </is>
      </c>
      <c r="E19" s="18" t="inlineStr">
        <is>
          <t>آکادمیک استاندارد</t>
        </is>
      </c>
      <c r="F19" s="20" t="n">
        <v>20</v>
      </c>
      <c r="G19" s="21">
        <f>MAX(H7)</f>
        <v/>
      </c>
      <c r="H19" s="21">
        <f>G19+F19</f>
        <v/>
      </c>
      <c r="I19" s="18" t="inlineStr">
        <is>
          <t>P1-02</t>
        </is>
      </c>
      <c r="O19" s="17" t="n"/>
      <c r="P19" s="17" t="n"/>
      <c r="Q19" s="17" t="n"/>
    </row>
    <row r="20" ht="22" customHeight="1">
      <c r="B20" s="13" t="inlineStr">
        <is>
          <t>P1-15</t>
        </is>
      </c>
      <c r="C20" s="14" t="inlineStr">
        <is>
          <t>مدیریت فرایندهای درسی (Rules Engine)</t>
        </is>
      </c>
      <c r="D20" s="13" t="inlineStr">
        <is>
          <t>فاز ۱</t>
        </is>
      </c>
      <c r="E20" s="13" t="inlineStr">
        <is>
          <t>آکادمیک استاندارد</t>
        </is>
      </c>
      <c r="F20" s="15" t="n">
        <v>20</v>
      </c>
      <c r="G20" s="16">
        <f>MAX(H19)</f>
        <v/>
      </c>
      <c r="H20" s="16">
        <f>G20+F20</f>
        <v/>
      </c>
      <c r="I20" s="13" t="inlineStr">
        <is>
          <t>P1-14</t>
        </is>
      </c>
      <c r="Q20" s="17" t="n"/>
      <c r="R20" s="17" t="n"/>
      <c r="S20" s="17" t="n"/>
      <c r="T20" s="17" t="n"/>
    </row>
    <row r="21" ht="22" customHeight="1">
      <c r="B21" s="18" t="inlineStr">
        <is>
          <t>P1-16</t>
        </is>
      </c>
      <c r="C21" s="19" t="inlineStr">
        <is>
          <t>ارزیابی و کارنامه</t>
        </is>
      </c>
      <c r="D21" s="18" t="inlineStr">
        <is>
          <t>فاز ۱</t>
        </is>
      </c>
      <c r="E21" s="18" t="inlineStr">
        <is>
          <t>آکادمیک استاندارد</t>
        </is>
      </c>
      <c r="F21" s="20" t="n">
        <v>15</v>
      </c>
      <c r="G21" s="21">
        <f>MAX(H19)</f>
        <v/>
      </c>
      <c r="H21" s="21">
        <f>G21+F21</f>
        <v/>
      </c>
      <c r="I21" s="18" t="inlineStr">
        <is>
          <t>P1-14</t>
        </is>
      </c>
      <c r="Q21" s="17" t="n"/>
      <c r="R21" s="17" t="n"/>
      <c r="S21" s="17" t="n"/>
    </row>
    <row r="22" ht="22" customHeight="1">
      <c r="B22" s="13" t="inlineStr">
        <is>
          <t>P1-17</t>
        </is>
      </c>
      <c r="C22" s="14" t="inlineStr">
        <is>
          <t>یکپارچگی SIS (گلستان/سجاد)</t>
        </is>
      </c>
      <c r="D22" s="13" t="inlineStr">
        <is>
          <t>فاز ۱</t>
        </is>
      </c>
      <c r="E22" s="13" t="inlineStr">
        <is>
          <t>آکادمیک استاندارد</t>
        </is>
      </c>
      <c r="F22" s="15" t="n">
        <v>25</v>
      </c>
      <c r="G22" s="16">
        <f>MAX(H19)</f>
        <v/>
      </c>
      <c r="H22" s="16">
        <f>G22+F22</f>
        <v/>
      </c>
      <c r="I22" s="13" t="inlineStr">
        <is>
          <t>P1-14</t>
        </is>
      </c>
      <c r="Q22" s="17" t="n"/>
      <c r="R22" s="17" t="n"/>
      <c r="S22" s="17" t="n"/>
      <c r="T22" s="17" t="n"/>
      <c r="U22" s="17" t="n"/>
    </row>
    <row r="23" ht="22" customHeight="1">
      <c r="B23" s="22" t="inlineStr">
        <is>
          <t>M1</t>
        </is>
      </c>
      <c r="C23" s="23" t="inlineStr">
        <is>
          <t>تحویل فاز ۱ — MVP</t>
        </is>
      </c>
      <c r="D23" s="22" t="inlineStr">
        <is>
          <t>فاز ۱</t>
        </is>
      </c>
      <c r="E23" s="22" t="inlineStr">
        <is>
          <t>مایل‌ستون</t>
        </is>
      </c>
      <c r="F23" s="22" t="n">
        <v>0</v>
      </c>
      <c r="G23" s="24">
        <f>MAX(H22)</f>
        <v/>
      </c>
      <c r="H23" s="24">
        <f>G23</f>
        <v/>
      </c>
      <c r="I23" s="22" t="inlineStr">
        <is>
          <t>P1-17</t>
        </is>
      </c>
      <c r="U23" s="25" t="inlineStr">
        <is>
          <t>◆</t>
        </is>
      </c>
    </row>
    <row r="24" ht="22" customHeight="1">
      <c r="B24" s="13" t="inlineStr">
        <is>
          <t>P2-01</t>
        </is>
      </c>
      <c r="C24" s="14" t="inlineStr">
        <is>
          <t>موتور امتیازدهی (Point Engine)</t>
        </is>
      </c>
      <c r="D24" s="13" t="inlineStr">
        <is>
          <t>فاز ۲</t>
        </is>
      </c>
      <c r="E24" s="13" t="inlineStr">
        <is>
          <t>گیمیفیکیشن</t>
        </is>
      </c>
      <c r="F24" s="15" t="n">
        <v>15</v>
      </c>
      <c r="G24" s="16">
        <f>MAX(H23)</f>
        <v/>
      </c>
      <c r="H24" s="16">
        <f>G24+F24</f>
        <v/>
      </c>
      <c r="I24" s="13" t="inlineStr">
        <is>
          <t>M1</t>
        </is>
      </c>
      <c r="U24" s="26" t="n"/>
      <c r="V24" s="26" t="n"/>
      <c r="W24" s="26" t="n"/>
    </row>
    <row r="25" ht="22" customHeight="1">
      <c r="B25" s="18" t="inlineStr">
        <is>
          <t>P2-02</t>
        </is>
      </c>
      <c r="C25" s="19" t="inlineStr">
        <is>
          <t>سیستم نشان و دستاورد (Badge)</t>
        </is>
      </c>
      <c r="D25" s="18" t="inlineStr">
        <is>
          <t>فاز ۲</t>
        </is>
      </c>
      <c r="E25" s="18" t="inlineStr">
        <is>
          <t>گیمیفیکیشن</t>
        </is>
      </c>
      <c r="F25" s="20" t="n">
        <v>15</v>
      </c>
      <c r="G25" s="21">
        <f>MAX(H24)</f>
        <v/>
      </c>
      <c r="H25" s="21">
        <f>G25+F25</f>
        <v/>
      </c>
      <c r="I25" s="18" t="inlineStr">
        <is>
          <t>P2-01</t>
        </is>
      </c>
      <c r="W25" s="26" t="n"/>
      <c r="X25" s="26" t="n"/>
      <c r="Y25" s="26" t="n"/>
    </row>
    <row r="26" ht="22" customHeight="1">
      <c r="B26" s="13" t="inlineStr">
        <is>
          <t>P2-03</t>
        </is>
      </c>
      <c r="C26" s="14" t="inlineStr">
        <is>
          <t>سطح‌بندی و لیدربورد</t>
        </is>
      </c>
      <c r="D26" s="13" t="inlineStr">
        <is>
          <t>فاز ۲</t>
        </is>
      </c>
      <c r="E26" s="13" t="inlineStr">
        <is>
          <t>گیمیفیکیشن</t>
        </is>
      </c>
      <c r="F26" s="15" t="n">
        <v>15</v>
      </c>
      <c r="G26" s="16">
        <f>MAX(H24)</f>
        <v/>
      </c>
      <c r="H26" s="16">
        <f>G26+F26</f>
        <v/>
      </c>
      <c r="I26" s="13" t="inlineStr">
        <is>
          <t>P2-01</t>
        </is>
      </c>
      <c r="W26" s="26" t="n"/>
      <c r="X26" s="26" t="n"/>
      <c r="Y26" s="26" t="n"/>
    </row>
    <row r="27" ht="22" customHeight="1">
      <c r="B27" s="18" t="inlineStr">
        <is>
          <t>P2-04</t>
        </is>
      </c>
      <c r="C27" s="19" t="inlineStr">
        <is>
          <t>قوانین پاداش و شخصی‌سازی</t>
        </is>
      </c>
      <c r="D27" s="18" t="inlineStr">
        <is>
          <t>فاز ۲</t>
        </is>
      </c>
      <c r="E27" s="18" t="inlineStr">
        <is>
          <t>گیمیفیکیشن</t>
        </is>
      </c>
      <c r="F27" s="20" t="n">
        <v>15</v>
      </c>
      <c r="G27" s="21">
        <f>MAX(H24)</f>
        <v/>
      </c>
      <c r="H27" s="21">
        <f>G27+F27</f>
        <v/>
      </c>
      <c r="I27" s="18" t="inlineStr">
        <is>
          <t>P2-01</t>
        </is>
      </c>
      <c r="W27" s="26" t="n"/>
      <c r="X27" s="26" t="n"/>
      <c r="Y27" s="26" t="n"/>
    </row>
    <row r="28" ht="22" customHeight="1">
      <c r="B28" s="13" t="inlineStr">
        <is>
          <t>P2-05</t>
        </is>
      </c>
      <c r="C28" s="14" t="inlineStr">
        <is>
          <t>داشبورد و اعلان‌های هوشمند</t>
        </is>
      </c>
      <c r="D28" s="13" t="inlineStr">
        <is>
          <t>فاز ۲</t>
        </is>
      </c>
      <c r="E28" s="13" t="inlineStr">
        <is>
          <t>گیمیفیکیشن</t>
        </is>
      </c>
      <c r="F28" s="15" t="n">
        <v>15</v>
      </c>
      <c r="G28" s="16">
        <f>MAX(H26)</f>
        <v/>
      </c>
      <c r="H28" s="16">
        <f>G28+F28</f>
        <v/>
      </c>
      <c r="I28" s="13" t="inlineStr">
        <is>
          <t>P2-03</t>
        </is>
      </c>
      <c r="Y28" s="26" t="n"/>
      <c r="Z28" s="26" t="n"/>
      <c r="AA28" s="26" t="n"/>
    </row>
    <row r="29" ht="22" customHeight="1">
      <c r="B29" s="18" t="inlineStr">
        <is>
          <t>P2-06</t>
        </is>
      </c>
      <c r="C29" s="19" t="inlineStr">
        <is>
          <t>ضدتقلب و کنترل سوءاستفاده</t>
        </is>
      </c>
      <c r="D29" s="18" t="inlineStr">
        <is>
          <t>فاز ۲</t>
        </is>
      </c>
      <c r="E29" s="18" t="inlineStr">
        <is>
          <t>گیمیفیکیشن</t>
        </is>
      </c>
      <c r="F29" s="20" t="n">
        <v>10</v>
      </c>
      <c r="G29" s="21">
        <f>MAX(H24)</f>
        <v/>
      </c>
      <c r="H29" s="21">
        <f>G29+F29</f>
        <v/>
      </c>
      <c r="I29" s="18" t="inlineStr">
        <is>
          <t>P2-01</t>
        </is>
      </c>
      <c r="W29" s="26" t="n"/>
      <c r="X29" s="26" t="n"/>
    </row>
    <row r="30" ht="22" customHeight="1">
      <c r="B30" s="13" t="inlineStr">
        <is>
          <t>P2-07</t>
        </is>
      </c>
      <c r="C30" s="14" t="inlineStr">
        <is>
          <t>موتور پیشنهاددهی (Recommender)</t>
        </is>
      </c>
      <c r="D30" s="13" t="inlineStr">
        <is>
          <t>فاز ۲</t>
        </is>
      </c>
      <c r="E30" s="13" t="inlineStr">
        <is>
          <t>هوش مصنوعی</t>
        </is>
      </c>
      <c r="F30" s="15" t="n">
        <v>20</v>
      </c>
      <c r="G30" s="16">
        <f>MAX(H23)</f>
        <v/>
      </c>
      <c r="H30" s="16">
        <f>G30+F30</f>
        <v/>
      </c>
      <c r="I30" s="13" t="inlineStr">
        <is>
          <t>M1</t>
        </is>
      </c>
      <c r="U30" s="26" t="n"/>
      <c r="V30" s="26" t="n"/>
      <c r="W30" s="26" t="n"/>
      <c r="X30" s="26" t="n"/>
    </row>
    <row r="31" ht="22" customHeight="1">
      <c r="B31" s="18" t="inlineStr">
        <is>
          <t>P2-08</t>
        </is>
      </c>
      <c r="C31" s="19" t="inlineStr">
        <is>
          <t>تحلیل شکاف مهارتی (Skill-Gap)</t>
        </is>
      </c>
      <c r="D31" s="18" t="inlineStr">
        <is>
          <t>فاز ۲</t>
        </is>
      </c>
      <c r="E31" s="18" t="inlineStr">
        <is>
          <t>هوش مصنوعی</t>
        </is>
      </c>
      <c r="F31" s="20" t="n">
        <v>15</v>
      </c>
      <c r="G31" s="21">
        <f>MAX(H30)</f>
        <v/>
      </c>
      <c r="H31" s="21">
        <f>G31+F31</f>
        <v/>
      </c>
      <c r="I31" s="18" t="inlineStr">
        <is>
          <t>P2-07</t>
        </is>
      </c>
      <c r="X31" s="26" t="n"/>
      <c r="Y31" s="26" t="n"/>
      <c r="Z31" s="26" t="n"/>
    </row>
    <row r="32" ht="22" customHeight="1">
      <c r="B32" s="13" t="inlineStr">
        <is>
          <t>P2-09</t>
        </is>
      </c>
      <c r="C32" s="14" t="inlineStr">
        <is>
          <t>پشتیبانی هوشمند (AI Tutor/Chatbot)</t>
        </is>
      </c>
      <c r="D32" s="13" t="inlineStr">
        <is>
          <t>فاز ۲</t>
        </is>
      </c>
      <c r="E32" s="13" t="inlineStr">
        <is>
          <t>هوش مصنوعی</t>
        </is>
      </c>
      <c r="F32" s="15" t="n">
        <v>25</v>
      </c>
      <c r="G32" s="16">
        <f>MAX(H23)</f>
        <v/>
      </c>
      <c r="H32" s="16">
        <f>G32+F32</f>
        <v/>
      </c>
      <c r="I32" s="13" t="inlineStr">
        <is>
          <t>M1</t>
        </is>
      </c>
      <c r="U32" s="26" t="n"/>
      <c r="V32" s="26" t="n"/>
      <c r="W32" s="26" t="n"/>
      <c r="X32" s="26" t="n"/>
    </row>
    <row r="33" ht="22" customHeight="1">
      <c r="B33" s="18" t="inlineStr">
        <is>
          <t>P2-10</t>
        </is>
      </c>
      <c r="C33" s="19" t="inlineStr">
        <is>
          <t>تشخیص تقلب (Proctoring)</t>
        </is>
      </c>
      <c r="D33" s="18" t="inlineStr">
        <is>
          <t>فاز ۲</t>
        </is>
      </c>
      <c r="E33" s="18" t="inlineStr">
        <is>
          <t>هوش مصنوعی</t>
        </is>
      </c>
      <c r="F33" s="20" t="n">
        <v>20</v>
      </c>
      <c r="G33" s="21">
        <f>MAX(H23)</f>
        <v/>
      </c>
      <c r="H33" s="21">
        <f>G33+F33</f>
        <v/>
      </c>
      <c r="I33" s="18" t="inlineStr">
        <is>
          <t>M1</t>
        </is>
      </c>
      <c r="U33" s="26" t="n"/>
      <c r="V33" s="26" t="n"/>
      <c r="W33" s="26" t="n"/>
      <c r="X33" s="26" t="n"/>
    </row>
    <row r="34" ht="22" customHeight="1">
      <c r="B34" s="13" t="inlineStr">
        <is>
          <t>P2-11</t>
        </is>
      </c>
      <c r="C34" s="14" t="inlineStr">
        <is>
          <t>داشبورد پیش‌بینی (Predictive)</t>
        </is>
      </c>
      <c r="D34" s="13" t="inlineStr">
        <is>
          <t>فاز ۲</t>
        </is>
      </c>
      <c r="E34" s="13" t="inlineStr">
        <is>
          <t>هوش مصنوعی</t>
        </is>
      </c>
      <c r="F34" s="15" t="n">
        <v>15</v>
      </c>
      <c r="G34" s="16">
        <f>MAX(H30)</f>
        <v/>
      </c>
      <c r="H34" s="16">
        <f>G34+F34</f>
        <v/>
      </c>
      <c r="I34" s="13" t="inlineStr">
        <is>
          <t>P2-07</t>
        </is>
      </c>
      <c r="X34" s="26" t="n"/>
      <c r="Y34" s="26" t="n"/>
      <c r="Z34" s="26" t="n"/>
    </row>
    <row r="35" ht="22" customHeight="1">
      <c r="B35" s="18" t="inlineStr">
        <is>
          <t>P2-12</t>
        </is>
      </c>
      <c r="C35" s="19" t="inlineStr">
        <is>
          <t>مدیریت کمیسیون و تسویه حساب</t>
        </is>
      </c>
      <c r="D35" s="18" t="inlineStr">
        <is>
          <t>فاز ۲</t>
        </is>
      </c>
      <c r="E35" s="18" t="inlineStr">
        <is>
          <t>بازار فروش</t>
        </is>
      </c>
      <c r="F35" s="20" t="n">
        <v>15</v>
      </c>
      <c r="G35" s="21">
        <f>MAX(H23)</f>
        <v/>
      </c>
      <c r="H35" s="21">
        <f>G35+F35</f>
        <v/>
      </c>
      <c r="I35" s="18" t="inlineStr">
        <is>
          <t>M1</t>
        </is>
      </c>
      <c r="U35" s="26" t="n"/>
      <c r="V35" s="26" t="n"/>
      <c r="W35" s="26" t="n"/>
    </row>
    <row r="36" ht="22" customHeight="1">
      <c r="B36" s="13" t="inlineStr">
        <is>
          <t>P2-13</t>
        </is>
      </c>
      <c r="C36" s="14" t="inlineStr">
        <is>
          <t>گزارشات فروش و کوپن تخفیف</t>
        </is>
      </c>
      <c r="D36" s="13" t="inlineStr">
        <is>
          <t>فاز ۲</t>
        </is>
      </c>
      <c r="E36" s="13" t="inlineStr">
        <is>
          <t>بازار فروش</t>
        </is>
      </c>
      <c r="F36" s="15" t="n">
        <v>15</v>
      </c>
      <c r="G36" s="16">
        <f>MAX(H35)</f>
        <v/>
      </c>
      <c r="H36" s="16">
        <f>G36+F36</f>
        <v/>
      </c>
      <c r="I36" s="13" t="inlineStr">
        <is>
          <t>P2-12</t>
        </is>
      </c>
      <c r="W36" s="26" t="n"/>
      <c r="X36" s="26" t="n"/>
      <c r="Y36" s="26" t="n"/>
    </row>
    <row r="37" ht="22" customHeight="1">
      <c r="B37" s="18" t="inlineStr">
        <is>
          <t>P2-14</t>
        </is>
      </c>
      <c r="C37" s="19" t="inlineStr">
        <is>
          <t>امتیازدهی، سبد خرید و پرداخت</t>
        </is>
      </c>
      <c r="D37" s="18" t="inlineStr">
        <is>
          <t>فاز ۲</t>
        </is>
      </c>
      <c r="E37" s="18" t="inlineStr">
        <is>
          <t>بازار فروش</t>
        </is>
      </c>
      <c r="F37" s="20" t="n">
        <v>20</v>
      </c>
      <c r="G37" s="21">
        <f>MAX(H35)</f>
        <v/>
      </c>
      <c r="H37" s="21">
        <f>G37+F37</f>
        <v/>
      </c>
      <c r="I37" s="18" t="inlineStr">
        <is>
          <t>P2-12</t>
        </is>
      </c>
      <c r="W37" s="26" t="n"/>
      <c r="X37" s="26" t="n"/>
      <c r="Y37" s="26" t="n"/>
      <c r="Z37" s="26" t="n"/>
    </row>
    <row r="38" ht="22" customHeight="1">
      <c r="B38" s="13" t="inlineStr">
        <is>
          <t>P2-15</t>
        </is>
      </c>
      <c r="C38" s="14" t="inlineStr">
        <is>
          <t>جلسات Live و ابزارهای پشتیبانی</t>
        </is>
      </c>
      <c r="D38" s="13" t="inlineStr">
        <is>
          <t>فاز ۲</t>
        </is>
      </c>
      <c r="E38" s="13" t="inlineStr">
        <is>
          <t>بازار فروش</t>
        </is>
      </c>
      <c r="F38" s="15" t="n">
        <v>15</v>
      </c>
      <c r="G38" s="16">
        <f>MAX(H35)</f>
        <v/>
      </c>
      <c r="H38" s="16">
        <f>G38+F38</f>
        <v/>
      </c>
      <c r="I38" s="13" t="inlineStr">
        <is>
          <t>P2-12</t>
        </is>
      </c>
      <c r="W38" s="26" t="n"/>
      <c r="X38" s="26" t="n"/>
      <c r="Y38" s="26" t="n"/>
    </row>
    <row r="39" ht="22" customHeight="1">
      <c r="B39" s="18" t="inlineStr">
        <is>
          <t>P2-16</t>
        </is>
      </c>
      <c r="C39" s="19" t="inlineStr">
        <is>
          <t>تست یکپارچگی (Integration Testing)</t>
        </is>
      </c>
      <c r="D39" s="18" t="inlineStr">
        <is>
          <t>فاز ۲</t>
        </is>
      </c>
      <c r="E39" s="18" t="inlineStr">
        <is>
          <t>تست و استقرار</t>
        </is>
      </c>
      <c r="F39" s="20" t="n">
        <v>20</v>
      </c>
      <c r="G39" s="21">
        <f>MAX(H38,H34,H29)</f>
        <v/>
      </c>
      <c r="H39" s="21">
        <f>G39+F39</f>
        <v/>
      </c>
      <c r="I39" s="18" t="inlineStr">
        <is>
          <t>P2-15,P2-11,P2-06</t>
        </is>
      </c>
      <c r="Z39" s="27" t="n"/>
      <c r="AA39" s="27" t="n"/>
      <c r="AB39" s="27" t="n"/>
      <c r="AC39" s="27" t="n"/>
    </row>
    <row r="40" ht="22" customHeight="1">
      <c r="B40" s="13" t="inlineStr">
        <is>
          <t>P2-17</t>
        </is>
      </c>
      <c r="C40" s="14" t="inlineStr">
        <is>
          <t>تست کاربر (UAT) و رفع اشکال</t>
        </is>
      </c>
      <c r="D40" s="13" t="inlineStr">
        <is>
          <t>فاز ۲</t>
        </is>
      </c>
      <c r="E40" s="13" t="inlineStr">
        <is>
          <t>تست و استقرار</t>
        </is>
      </c>
      <c r="F40" s="15" t="n">
        <v>20</v>
      </c>
      <c r="G40" s="16">
        <f>MAX(H39)</f>
        <v/>
      </c>
      <c r="H40" s="16">
        <f>G40+F40</f>
        <v/>
      </c>
      <c r="I40" s="13" t="inlineStr">
        <is>
          <t>P2-16</t>
        </is>
      </c>
      <c r="AC40" s="27" t="n"/>
      <c r="AD40" s="27" t="n"/>
      <c r="AE40" s="27" t="n"/>
      <c r="AF40" s="27" t="n"/>
    </row>
    <row r="41" ht="22" customHeight="1">
      <c r="B41" s="18" t="inlineStr">
        <is>
          <t>P2-18</t>
        </is>
      </c>
      <c r="C41" s="19" t="inlineStr">
        <is>
          <t>استقرار و راه‌اندازی نهایی</t>
        </is>
      </c>
      <c r="D41" s="18" t="inlineStr">
        <is>
          <t>فاز ۲</t>
        </is>
      </c>
      <c r="E41" s="18" t="inlineStr">
        <is>
          <t>تست و استقرار</t>
        </is>
      </c>
      <c r="F41" s="20" t="n">
        <v>10</v>
      </c>
      <c r="G41" s="21">
        <f>MAX(H40)</f>
        <v/>
      </c>
      <c r="H41" s="21">
        <f>G41+F41</f>
        <v/>
      </c>
      <c r="I41" s="18" t="inlineStr">
        <is>
          <t>P2-17</t>
        </is>
      </c>
      <c r="AF41" s="27" t="n"/>
      <c r="AG41" s="27" t="n"/>
    </row>
    <row r="42" ht="22" customHeight="1">
      <c r="B42" s="22" t="inlineStr">
        <is>
          <t>M2</t>
        </is>
      </c>
      <c r="C42" s="23" t="inlineStr">
        <is>
          <t>تحویل نهایی پروژه</t>
        </is>
      </c>
      <c r="D42" s="22" t="inlineStr">
        <is>
          <t>فاز ۲</t>
        </is>
      </c>
      <c r="E42" s="22" t="inlineStr">
        <is>
          <t>مایل‌ستون</t>
        </is>
      </c>
      <c r="F42" s="22" t="n">
        <v>0</v>
      </c>
      <c r="G42" s="24">
        <f>MAX(H41)</f>
        <v/>
      </c>
      <c r="H42" s="24">
        <f>G42</f>
        <v/>
      </c>
      <c r="I42" s="22" t="inlineStr">
        <is>
          <t>P2-18</t>
        </is>
      </c>
      <c r="AG42" s="25" t="inlineStr">
        <is>
          <t>◆</t>
        </is>
      </c>
    </row>
    <row r="45">
      <c r="B45" s="28" t="inlineStr">
        <is>
          <t>راهنمای رنگ‌ها:</t>
        </is>
      </c>
    </row>
    <row r="46">
      <c r="B46" s="17" t="n"/>
      <c r="C46" s="29" t="inlineStr">
        <is>
          <t>فاز ۱: هسته + استاندارد</t>
        </is>
      </c>
      <c r="E46" s="26" t="n"/>
      <c r="F46" s="29" t="inlineStr">
        <is>
          <t>فاز ۲: هوشمند</t>
        </is>
      </c>
      <c r="H46" s="27" t="n"/>
      <c r="I46" s="29" t="inlineStr">
        <is>
          <t>تست و استقرار</t>
        </is>
      </c>
      <c r="K46" s="30" t="n"/>
      <c r="L46" s="29" t="inlineStr">
        <is>
          <t>مایل‌ستون</t>
        </is>
      </c>
    </row>
  </sheetData>
  <mergeCells count="11">
    <mergeCell ref="J3:U3"/>
    <mergeCell ref="AD4:AG4"/>
    <mergeCell ref="R4:U4"/>
    <mergeCell ref="AL4:AM4"/>
    <mergeCell ref="V4:Y4"/>
    <mergeCell ref="J4:M4"/>
    <mergeCell ref="Z4:AC4"/>
    <mergeCell ref="N4:Q4"/>
    <mergeCell ref="AH4:AK4"/>
    <mergeCell ref="V3:AM3"/>
    <mergeCell ref="B2:AM2"/>
  </mergeCells>
  <conditionalFormatting sqref="J6">
    <cfRule type="expression" priority="1" dxfId="0">
      <formula>=AND(G6&lt;('تنظیمات'!$C$5+7),H6&gt;('تنظیمات'!$C$5+0),F6&gt;0)</formula>
    </cfRule>
  </conditionalFormatting>
  <conditionalFormatting sqref="K6">
    <cfRule type="expression" priority="2" dxfId="0">
      <formula>=AND(G6&lt;('تنظیمات'!$C$5+14),H6&gt;('تنظیمات'!$C$5+7),F6&gt;0)</formula>
    </cfRule>
  </conditionalFormatting>
  <conditionalFormatting sqref="L6">
    <cfRule type="expression" priority="3" dxfId="0">
      <formula>=AND(G6&lt;('تنظیمات'!$C$5+21),H6&gt;('تنظیمات'!$C$5+14),F6&gt;0)</formula>
    </cfRule>
  </conditionalFormatting>
  <conditionalFormatting sqref="M6">
    <cfRule type="expression" priority="4" dxfId="0">
      <formula>=AND(G6&lt;('تنظیمات'!$C$5+28),H6&gt;('تنظیمات'!$C$5+21),F6&gt;0)</formula>
    </cfRule>
  </conditionalFormatting>
  <conditionalFormatting sqref="N6">
    <cfRule type="expression" priority="5" dxfId="0">
      <formula>=AND(G6&lt;('تنظیمات'!$C$5+35),H6&gt;('تنظیمات'!$C$5+28),F6&gt;0)</formula>
    </cfRule>
  </conditionalFormatting>
  <conditionalFormatting sqref="O6">
    <cfRule type="expression" priority="6" dxfId="0">
      <formula>=AND(G6&lt;('تنظیمات'!$C$5+42),H6&gt;('تنظیمات'!$C$5+35),F6&gt;0)</formula>
    </cfRule>
  </conditionalFormatting>
  <conditionalFormatting sqref="P6">
    <cfRule type="expression" priority="7" dxfId="0">
      <formula>=AND(G6&lt;('تنظیمات'!$C$5+49),H6&gt;('تنظیمات'!$C$5+42),F6&gt;0)</formula>
    </cfRule>
  </conditionalFormatting>
  <conditionalFormatting sqref="Q6">
    <cfRule type="expression" priority="8" dxfId="0">
      <formula>=AND(G6&lt;('تنظیمات'!$C$5+56),H6&gt;('تنظیمات'!$C$5+49),F6&gt;0)</formula>
    </cfRule>
  </conditionalFormatting>
  <conditionalFormatting sqref="R6">
    <cfRule type="expression" priority="9" dxfId="0">
      <formula>=AND(G6&lt;('تنظیمات'!$C$5+63),H6&gt;('تنظیمات'!$C$5+56),F6&gt;0)</formula>
    </cfRule>
  </conditionalFormatting>
  <conditionalFormatting sqref="S6">
    <cfRule type="expression" priority="10" dxfId="0">
      <formula>=AND(G6&lt;('تنظیمات'!$C$5+70),H6&gt;('تنظیمات'!$C$5+63),F6&gt;0)</formula>
    </cfRule>
  </conditionalFormatting>
  <conditionalFormatting sqref="T6">
    <cfRule type="expression" priority="11" dxfId="0">
      <formula>=AND(G6&lt;('تنظیمات'!$C$5+77),H6&gt;('تنظیمات'!$C$5+70),F6&gt;0)</formula>
    </cfRule>
  </conditionalFormatting>
  <conditionalFormatting sqref="U6">
    <cfRule type="expression" priority="12" dxfId="0">
      <formula>=AND(G6&lt;('تنظیمات'!$C$5+84),H6&gt;('تنظیمات'!$C$5+77),F6&gt;0)</formula>
    </cfRule>
  </conditionalFormatting>
  <conditionalFormatting sqref="V6">
    <cfRule type="expression" priority="13" dxfId="0">
      <formula>=AND(G6&lt;('تنظیمات'!$C$5+91),H6&gt;('تنظیمات'!$C$5+84),F6&gt;0)</formula>
    </cfRule>
  </conditionalFormatting>
  <conditionalFormatting sqref="W6">
    <cfRule type="expression" priority="14" dxfId="0">
      <formula>=AND(G6&lt;('تنظیمات'!$C$5+98),H6&gt;('تنظیمات'!$C$5+91),F6&gt;0)</formula>
    </cfRule>
  </conditionalFormatting>
  <conditionalFormatting sqref="X6">
    <cfRule type="expression" priority="15" dxfId="0">
      <formula>=AND(G6&lt;('تنظیمات'!$C$5+105),H6&gt;('تنظیمات'!$C$5+98),F6&gt;0)</formula>
    </cfRule>
  </conditionalFormatting>
  <conditionalFormatting sqref="Y6">
    <cfRule type="expression" priority="16" dxfId="0">
      <formula>=AND(G6&lt;('تنظیمات'!$C$5+112),H6&gt;('تنظیمات'!$C$5+105),F6&gt;0)</formula>
    </cfRule>
  </conditionalFormatting>
  <conditionalFormatting sqref="Z6">
    <cfRule type="expression" priority="17" dxfId="0">
      <formula>=AND(G6&lt;('تنظیمات'!$C$5+119),H6&gt;('تنظیمات'!$C$5+112),F6&gt;0)</formula>
    </cfRule>
  </conditionalFormatting>
  <conditionalFormatting sqref="AA6">
    <cfRule type="expression" priority="18" dxfId="0">
      <formula>=AND(G6&lt;('تنظیمات'!$C$5+126),H6&gt;('تنظیمات'!$C$5+119),F6&gt;0)</formula>
    </cfRule>
  </conditionalFormatting>
  <conditionalFormatting sqref="AB6">
    <cfRule type="expression" priority="19" dxfId="0">
      <formula>=AND(G6&lt;('تنظیمات'!$C$5+133),H6&gt;('تنظیمات'!$C$5+126),F6&gt;0)</formula>
    </cfRule>
  </conditionalFormatting>
  <conditionalFormatting sqref="AC6">
    <cfRule type="expression" priority="20" dxfId="0">
      <formula>=AND(G6&lt;('تنظیمات'!$C$5+140),H6&gt;('تنظیمات'!$C$5+133),F6&gt;0)</formula>
    </cfRule>
  </conditionalFormatting>
  <conditionalFormatting sqref="AD6">
    <cfRule type="expression" priority="21" dxfId="0">
      <formula>=AND(G6&lt;('تنظیمات'!$C$5+147),H6&gt;('تنظیمات'!$C$5+140),F6&gt;0)</formula>
    </cfRule>
  </conditionalFormatting>
  <conditionalFormatting sqref="AE6">
    <cfRule type="expression" priority="22" dxfId="0">
      <formula>=AND(G6&lt;('تنظیمات'!$C$5+154),H6&gt;('تنظیمات'!$C$5+147),F6&gt;0)</formula>
    </cfRule>
  </conditionalFormatting>
  <conditionalFormatting sqref="AF6">
    <cfRule type="expression" priority="23" dxfId="0">
      <formula>=AND(G6&lt;('تنظیمات'!$C$5+161),H6&gt;('تنظیمات'!$C$5+154),F6&gt;0)</formula>
    </cfRule>
  </conditionalFormatting>
  <conditionalFormatting sqref="AG6">
    <cfRule type="expression" priority="24" dxfId="0">
      <formula>=AND(G6&lt;('تنظیمات'!$C$5+168),H6&gt;('تنظیمات'!$C$5+161),F6&gt;0)</formula>
    </cfRule>
  </conditionalFormatting>
  <conditionalFormatting sqref="AH6">
    <cfRule type="expression" priority="25" dxfId="0">
      <formula>=AND(G6&lt;('تنظیمات'!$C$5+175),H6&gt;('تنظیمات'!$C$5+168),F6&gt;0)</formula>
    </cfRule>
  </conditionalFormatting>
  <conditionalFormatting sqref="AI6">
    <cfRule type="expression" priority="26" dxfId="0">
      <formula>=AND(G6&lt;('تنظیمات'!$C$5+182),H6&gt;('تنظیمات'!$C$5+175),F6&gt;0)</formula>
    </cfRule>
  </conditionalFormatting>
  <conditionalFormatting sqref="AJ6">
    <cfRule type="expression" priority="27" dxfId="0">
      <formula>=AND(G6&lt;('تنظیمات'!$C$5+189),H6&gt;('تنظیمات'!$C$5+182),F6&gt;0)</formula>
    </cfRule>
  </conditionalFormatting>
  <conditionalFormatting sqref="AK6">
    <cfRule type="expression" priority="28" dxfId="0">
      <formula>=AND(G6&lt;('تنظیمات'!$C$5+196),H6&gt;('تنظیمات'!$C$5+189),F6&gt;0)</formula>
    </cfRule>
  </conditionalFormatting>
  <conditionalFormatting sqref="AL6">
    <cfRule type="expression" priority="29" dxfId="0">
      <formula>=AND(G6&lt;('تنظیمات'!$C$5+203),H6&gt;('تنظیمات'!$C$5+196),F6&gt;0)</formula>
    </cfRule>
  </conditionalFormatting>
  <conditionalFormatting sqref="AM6">
    <cfRule type="expression" priority="30" dxfId="0">
      <formula>=AND(G6&lt;('تنظیمات'!$C$5+210),H6&gt;('تنظیمات'!$C$5+203),F6&gt;0)</formula>
    </cfRule>
  </conditionalFormatting>
  <conditionalFormatting sqref="J7">
    <cfRule type="expression" priority="31" dxfId="0">
      <formula>=AND(G7&lt;('تنظیمات'!$C$5+7),H7&gt;('تنظیمات'!$C$5+0),F7&gt;0)</formula>
    </cfRule>
  </conditionalFormatting>
  <conditionalFormatting sqref="K7">
    <cfRule type="expression" priority="32" dxfId="0">
      <formula>=AND(G7&lt;('تنظیمات'!$C$5+14),H7&gt;('تنظیمات'!$C$5+7),F7&gt;0)</formula>
    </cfRule>
  </conditionalFormatting>
  <conditionalFormatting sqref="L7">
    <cfRule type="expression" priority="33" dxfId="0">
      <formula>=AND(G7&lt;('تنظیمات'!$C$5+21),H7&gt;('تنظیمات'!$C$5+14),F7&gt;0)</formula>
    </cfRule>
  </conditionalFormatting>
  <conditionalFormatting sqref="M7">
    <cfRule type="expression" priority="34" dxfId="0">
      <formula>=AND(G7&lt;('تنظیمات'!$C$5+28),H7&gt;('تنظیمات'!$C$5+21),F7&gt;0)</formula>
    </cfRule>
  </conditionalFormatting>
  <conditionalFormatting sqref="N7">
    <cfRule type="expression" priority="35" dxfId="0">
      <formula>=AND(G7&lt;('تنظیمات'!$C$5+35),H7&gt;('تنظیمات'!$C$5+28),F7&gt;0)</formula>
    </cfRule>
  </conditionalFormatting>
  <conditionalFormatting sqref="O7">
    <cfRule type="expression" priority="36" dxfId="0">
      <formula>=AND(G7&lt;('تنظیمات'!$C$5+42),H7&gt;('تنظیمات'!$C$5+35),F7&gt;0)</formula>
    </cfRule>
  </conditionalFormatting>
  <conditionalFormatting sqref="P7">
    <cfRule type="expression" priority="37" dxfId="0">
      <formula>=AND(G7&lt;('تنظیمات'!$C$5+49),H7&gt;('تنظیمات'!$C$5+42),F7&gt;0)</formula>
    </cfRule>
  </conditionalFormatting>
  <conditionalFormatting sqref="Q7">
    <cfRule type="expression" priority="38" dxfId="0">
      <formula>=AND(G7&lt;('تنظیمات'!$C$5+56),H7&gt;('تنظیمات'!$C$5+49),F7&gt;0)</formula>
    </cfRule>
  </conditionalFormatting>
  <conditionalFormatting sqref="R7">
    <cfRule type="expression" priority="39" dxfId="0">
      <formula>=AND(G7&lt;('تنظیمات'!$C$5+63),H7&gt;('تنظیمات'!$C$5+56),F7&gt;0)</formula>
    </cfRule>
  </conditionalFormatting>
  <conditionalFormatting sqref="S7">
    <cfRule type="expression" priority="40" dxfId="0">
      <formula>=AND(G7&lt;('تنظیمات'!$C$5+70),H7&gt;('تنظیمات'!$C$5+63),F7&gt;0)</formula>
    </cfRule>
  </conditionalFormatting>
  <conditionalFormatting sqref="T7">
    <cfRule type="expression" priority="41" dxfId="0">
      <formula>=AND(G7&lt;('تنظیمات'!$C$5+77),H7&gt;('تنظیمات'!$C$5+70),F7&gt;0)</formula>
    </cfRule>
  </conditionalFormatting>
  <conditionalFormatting sqref="U7">
    <cfRule type="expression" priority="42" dxfId="0">
      <formula>=AND(G7&lt;('تنظیمات'!$C$5+84),H7&gt;('تنظیمات'!$C$5+77),F7&gt;0)</formula>
    </cfRule>
  </conditionalFormatting>
  <conditionalFormatting sqref="V7">
    <cfRule type="expression" priority="43" dxfId="0">
      <formula>=AND(G7&lt;('تنظیمات'!$C$5+91),H7&gt;('تنظیمات'!$C$5+84),F7&gt;0)</formula>
    </cfRule>
  </conditionalFormatting>
  <conditionalFormatting sqref="W7">
    <cfRule type="expression" priority="44" dxfId="0">
      <formula>=AND(G7&lt;('تنظیمات'!$C$5+98),H7&gt;('تنظیمات'!$C$5+91),F7&gt;0)</formula>
    </cfRule>
  </conditionalFormatting>
  <conditionalFormatting sqref="X7">
    <cfRule type="expression" priority="45" dxfId="0">
      <formula>=AND(G7&lt;('تنظیمات'!$C$5+105),H7&gt;('تنظیمات'!$C$5+98),F7&gt;0)</formula>
    </cfRule>
  </conditionalFormatting>
  <conditionalFormatting sqref="Y7">
    <cfRule type="expression" priority="46" dxfId="0">
      <formula>=AND(G7&lt;('تنظیمات'!$C$5+112),H7&gt;('تنظیمات'!$C$5+105),F7&gt;0)</formula>
    </cfRule>
  </conditionalFormatting>
  <conditionalFormatting sqref="Z7">
    <cfRule type="expression" priority="47" dxfId="0">
      <formula>=AND(G7&lt;('تنظیمات'!$C$5+119),H7&gt;('تنظیمات'!$C$5+112),F7&gt;0)</formula>
    </cfRule>
  </conditionalFormatting>
  <conditionalFormatting sqref="AA7">
    <cfRule type="expression" priority="48" dxfId="0">
      <formula>=AND(G7&lt;('تنظیمات'!$C$5+126),H7&gt;('تنظیمات'!$C$5+119),F7&gt;0)</formula>
    </cfRule>
  </conditionalFormatting>
  <conditionalFormatting sqref="AB7">
    <cfRule type="expression" priority="49" dxfId="0">
      <formula>=AND(G7&lt;('تنظیمات'!$C$5+133),H7&gt;('تنظیمات'!$C$5+126),F7&gt;0)</formula>
    </cfRule>
  </conditionalFormatting>
  <conditionalFormatting sqref="AC7">
    <cfRule type="expression" priority="50" dxfId="0">
      <formula>=AND(G7&lt;('تنظیمات'!$C$5+140),H7&gt;('تنظیمات'!$C$5+133),F7&gt;0)</formula>
    </cfRule>
  </conditionalFormatting>
  <conditionalFormatting sqref="AD7">
    <cfRule type="expression" priority="51" dxfId="0">
      <formula>=AND(G7&lt;('تنظیمات'!$C$5+147),H7&gt;('تنظیمات'!$C$5+140),F7&gt;0)</formula>
    </cfRule>
  </conditionalFormatting>
  <conditionalFormatting sqref="AE7">
    <cfRule type="expression" priority="52" dxfId="0">
      <formula>=AND(G7&lt;('تنظیمات'!$C$5+154),H7&gt;('تنظیمات'!$C$5+147),F7&gt;0)</formula>
    </cfRule>
  </conditionalFormatting>
  <conditionalFormatting sqref="AF7">
    <cfRule type="expression" priority="53" dxfId="0">
      <formula>=AND(G7&lt;('تنظیمات'!$C$5+161),H7&gt;('تنظیمات'!$C$5+154),F7&gt;0)</formula>
    </cfRule>
  </conditionalFormatting>
  <conditionalFormatting sqref="AG7">
    <cfRule type="expression" priority="54" dxfId="0">
      <formula>=AND(G7&lt;('تنظیمات'!$C$5+168),H7&gt;('تنظیمات'!$C$5+161),F7&gt;0)</formula>
    </cfRule>
  </conditionalFormatting>
  <conditionalFormatting sqref="AH7">
    <cfRule type="expression" priority="55" dxfId="0">
      <formula>=AND(G7&lt;('تنظیمات'!$C$5+175),H7&gt;('تنظیمات'!$C$5+168),F7&gt;0)</formula>
    </cfRule>
  </conditionalFormatting>
  <conditionalFormatting sqref="AI7">
    <cfRule type="expression" priority="56" dxfId="0">
      <formula>=AND(G7&lt;('تنظیمات'!$C$5+182),H7&gt;('تنظیمات'!$C$5+175),F7&gt;0)</formula>
    </cfRule>
  </conditionalFormatting>
  <conditionalFormatting sqref="AJ7">
    <cfRule type="expression" priority="57" dxfId="0">
      <formula>=AND(G7&lt;('تنظیمات'!$C$5+189),H7&gt;('تنظیمات'!$C$5+182),F7&gt;0)</formula>
    </cfRule>
  </conditionalFormatting>
  <conditionalFormatting sqref="AK7">
    <cfRule type="expression" priority="58" dxfId="0">
      <formula>=AND(G7&lt;('تنظیمات'!$C$5+196),H7&gt;('تنظیمات'!$C$5+189),F7&gt;0)</formula>
    </cfRule>
  </conditionalFormatting>
  <conditionalFormatting sqref="AL7">
    <cfRule type="expression" priority="59" dxfId="0">
      <formula>=AND(G7&lt;('تنظیمات'!$C$5+203),H7&gt;('تنظیمات'!$C$5+196),F7&gt;0)</formula>
    </cfRule>
  </conditionalFormatting>
  <conditionalFormatting sqref="AM7">
    <cfRule type="expression" priority="60" dxfId="0">
      <formula>=AND(G7&lt;('تنظیمات'!$C$5+210),H7&gt;('تنظیمات'!$C$5+203),F7&gt;0)</formula>
    </cfRule>
  </conditionalFormatting>
  <conditionalFormatting sqref="J8">
    <cfRule type="expression" priority="61" dxfId="0">
      <formula>=AND(G8&lt;('تنظیمات'!$C$5+7),H8&gt;('تنظیمات'!$C$5+0),F8&gt;0)</formula>
    </cfRule>
  </conditionalFormatting>
  <conditionalFormatting sqref="K8">
    <cfRule type="expression" priority="62" dxfId="0">
      <formula>=AND(G8&lt;('تنظیمات'!$C$5+14),H8&gt;('تنظیمات'!$C$5+7),F8&gt;0)</formula>
    </cfRule>
  </conditionalFormatting>
  <conditionalFormatting sqref="L8">
    <cfRule type="expression" priority="63" dxfId="0">
      <formula>=AND(G8&lt;('تنظیمات'!$C$5+21),H8&gt;('تنظیمات'!$C$5+14),F8&gt;0)</formula>
    </cfRule>
  </conditionalFormatting>
  <conditionalFormatting sqref="M8">
    <cfRule type="expression" priority="64" dxfId="0">
      <formula>=AND(G8&lt;('تنظیمات'!$C$5+28),H8&gt;('تنظیمات'!$C$5+21),F8&gt;0)</formula>
    </cfRule>
  </conditionalFormatting>
  <conditionalFormatting sqref="N8">
    <cfRule type="expression" priority="65" dxfId="0">
      <formula>=AND(G8&lt;('تنظیمات'!$C$5+35),H8&gt;('تنظیمات'!$C$5+28),F8&gt;0)</formula>
    </cfRule>
  </conditionalFormatting>
  <conditionalFormatting sqref="O8">
    <cfRule type="expression" priority="66" dxfId="0">
      <formula>=AND(G8&lt;('تنظیمات'!$C$5+42),H8&gt;('تنظیمات'!$C$5+35),F8&gt;0)</formula>
    </cfRule>
  </conditionalFormatting>
  <conditionalFormatting sqref="P8">
    <cfRule type="expression" priority="67" dxfId="0">
      <formula>=AND(G8&lt;('تنظیمات'!$C$5+49),H8&gt;('تنظیمات'!$C$5+42),F8&gt;0)</formula>
    </cfRule>
  </conditionalFormatting>
  <conditionalFormatting sqref="Q8">
    <cfRule type="expression" priority="68" dxfId="0">
      <formula>=AND(G8&lt;('تنظیمات'!$C$5+56),H8&gt;('تنظیمات'!$C$5+49),F8&gt;0)</formula>
    </cfRule>
  </conditionalFormatting>
  <conditionalFormatting sqref="R8">
    <cfRule type="expression" priority="69" dxfId="0">
      <formula>=AND(G8&lt;('تنظیمات'!$C$5+63),H8&gt;('تنظیمات'!$C$5+56),F8&gt;0)</formula>
    </cfRule>
  </conditionalFormatting>
  <conditionalFormatting sqref="S8">
    <cfRule type="expression" priority="70" dxfId="0">
      <formula>=AND(G8&lt;('تنظیمات'!$C$5+70),H8&gt;('تنظیمات'!$C$5+63),F8&gt;0)</formula>
    </cfRule>
  </conditionalFormatting>
  <conditionalFormatting sqref="T8">
    <cfRule type="expression" priority="71" dxfId="0">
      <formula>=AND(G8&lt;('تنظیمات'!$C$5+77),H8&gt;('تنظیمات'!$C$5+70),F8&gt;0)</formula>
    </cfRule>
  </conditionalFormatting>
  <conditionalFormatting sqref="U8">
    <cfRule type="expression" priority="72" dxfId="0">
      <formula>=AND(G8&lt;('تنظیمات'!$C$5+84),H8&gt;('تنظیمات'!$C$5+77),F8&gt;0)</formula>
    </cfRule>
  </conditionalFormatting>
  <conditionalFormatting sqref="V8">
    <cfRule type="expression" priority="73" dxfId="0">
      <formula>=AND(G8&lt;('تنظیمات'!$C$5+91),H8&gt;('تنظیمات'!$C$5+84),F8&gt;0)</formula>
    </cfRule>
  </conditionalFormatting>
  <conditionalFormatting sqref="W8">
    <cfRule type="expression" priority="74" dxfId="0">
      <formula>=AND(G8&lt;('تنظیمات'!$C$5+98),H8&gt;('تنظیمات'!$C$5+91),F8&gt;0)</formula>
    </cfRule>
  </conditionalFormatting>
  <conditionalFormatting sqref="X8">
    <cfRule type="expression" priority="75" dxfId="0">
      <formula>=AND(G8&lt;('تنظیمات'!$C$5+105),H8&gt;('تنظیمات'!$C$5+98),F8&gt;0)</formula>
    </cfRule>
  </conditionalFormatting>
  <conditionalFormatting sqref="Y8">
    <cfRule type="expression" priority="76" dxfId="0">
      <formula>=AND(G8&lt;('تنظیمات'!$C$5+112),H8&gt;('تنظیمات'!$C$5+105),F8&gt;0)</formula>
    </cfRule>
  </conditionalFormatting>
  <conditionalFormatting sqref="Z8">
    <cfRule type="expression" priority="77" dxfId="0">
      <formula>=AND(G8&lt;('تنظیمات'!$C$5+119),H8&gt;('تنظیمات'!$C$5+112),F8&gt;0)</formula>
    </cfRule>
  </conditionalFormatting>
  <conditionalFormatting sqref="AA8">
    <cfRule type="expression" priority="78" dxfId="0">
      <formula>=AND(G8&lt;('تنظیمات'!$C$5+126),H8&gt;('تنظیمات'!$C$5+119),F8&gt;0)</formula>
    </cfRule>
  </conditionalFormatting>
  <conditionalFormatting sqref="AB8">
    <cfRule type="expression" priority="79" dxfId="0">
      <formula>=AND(G8&lt;('تنظیمات'!$C$5+133),H8&gt;('تنظیمات'!$C$5+126),F8&gt;0)</formula>
    </cfRule>
  </conditionalFormatting>
  <conditionalFormatting sqref="AC8">
    <cfRule type="expression" priority="80" dxfId="0">
      <formula>=AND(G8&lt;('تنظیمات'!$C$5+140),H8&gt;('تنظیمات'!$C$5+133),F8&gt;0)</formula>
    </cfRule>
  </conditionalFormatting>
  <conditionalFormatting sqref="AD8">
    <cfRule type="expression" priority="81" dxfId="0">
      <formula>=AND(G8&lt;('تنظیمات'!$C$5+147),H8&gt;('تنظیمات'!$C$5+140),F8&gt;0)</formula>
    </cfRule>
  </conditionalFormatting>
  <conditionalFormatting sqref="AE8">
    <cfRule type="expression" priority="82" dxfId="0">
      <formula>=AND(G8&lt;('تنظیمات'!$C$5+154),H8&gt;('تنظیمات'!$C$5+147),F8&gt;0)</formula>
    </cfRule>
  </conditionalFormatting>
  <conditionalFormatting sqref="AF8">
    <cfRule type="expression" priority="83" dxfId="0">
      <formula>=AND(G8&lt;('تنظیمات'!$C$5+161),H8&gt;('تنظیمات'!$C$5+154),F8&gt;0)</formula>
    </cfRule>
  </conditionalFormatting>
  <conditionalFormatting sqref="AG8">
    <cfRule type="expression" priority="84" dxfId="0">
      <formula>=AND(G8&lt;('تنظیمات'!$C$5+168),H8&gt;('تنظیمات'!$C$5+161),F8&gt;0)</formula>
    </cfRule>
  </conditionalFormatting>
  <conditionalFormatting sqref="AH8">
    <cfRule type="expression" priority="85" dxfId="0">
      <formula>=AND(G8&lt;('تنظیمات'!$C$5+175),H8&gt;('تنظیمات'!$C$5+168),F8&gt;0)</formula>
    </cfRule>
  </conditionalFormatting>
  <conditionalFormatting sqref="AI8">
    <cfRule type="expression" priority="86" dxfId="0">
      <formula>=AND(G8&lt;('تنظیمات'!$C$5+182),H8&gt;('تنظیمات'!$C$5+175),F8&gt;0)</formula>
    </cfRule>
  </conditionalFormatting>
  <conditionalFormatting sqref="AJ8">
    <cfRule type="expression" priority="87" dxfId="0">
      <formula>=AND(G8&lt;('تنظیمات'!$C$5+189),H8&gt;('تنظیمات'!$C$5+182),F8&gt;0)</formula>
    </cfRule>
  </conditionalFormatting>
  <conditionalFormatting sqref="AK8">
    <cfRule type="expression" priority="88" dxfId="0">
      <formula>=AND(G8&lt;('تنظیمات'!$C$5+196),H8&gt;('تنظیمات'!$C$5+189),F8&gt;0)</formula>
    </cfRule>
  </conditionalFormatting>
  <conditionalFormatting sqref="AL8">
    <cfRule type="expression" priority="89" dxfId="0">
      <formula>=AND(G8&lt;('تنظیمات'!$C$5+203),H8&gt;('تنظیمات'!$C$5+196),F8&gt;0)</formula>
    </cfRule>
  </conditionalFormatting>
  <conditionalFormatting sqref="AM8">
    <cfRule type="expression" priority="90" dxfId="0">
      <formula>=AND(G8&lt;('تنظیمات'!$C$5+210),H8&gt;('تنظیمات'!$C$5+203),F8&gt;0)</formula>
    </cfRule>
  </conditionalFormatting>
  <conditionalFormatting sqref="J9">
    <cfRule type="expression" priority="91" dxfId="0">
      <formula>=AND(G9&lt;('تنظیمات'!$C$5+7),H9&gt;('تنظیمات'!$C$5+0),F9&gt;0)</formula>
    </cfRule>
  </conditionalFormatting>
  <conditionalFormatting sqref="K9">
    <cfRule type="expression" priority="92" dxfId="0">
      <formula>=AND(G9&lt;('تنظیمات'!$C$5+14),H9&gt;('تنظیمات'!$C$5+7),F9&gt;0)</formula>
    </cfRule>
  </conditionalFormatting>
  <conditionalFormatting sqref="L9">
    <cfRule type="expression" priority="93" dxfId="0">
      <formula>=AND(G9&lt;('تنظیمات'!$C$5+21),H9&gt;('تنظیمات'!$C$5+14),F9&gt;0)</formula>
    </cfRule>
  </conditionalFormatting>
  <conditionalFormatting sqref="M9">
    <cfRule type="expression" priority="94" dxfId="0">
      <formula>=AND(G9&lt;('تنظیمات'!$C$5+28),H9&gt;('تنظیمات'!$C$5+21),F9&gt;0)</formula>
    </cfRule>
  </conditionalFormatting>
  <conditionalFormatting sqref="N9">
    <cfRule type="expression" priority="95" dxfId="0">
      <formula>=AND(G9&lt;('تنظیمات'!$C$5+35),H9&gt;('تنظیمات'!$C$5+28),F9&gt;0)</formula>
    </cfRule>
  </conditionalFormatting>
  <conditionalFormatting sqref="O9">
    <cfRule type="expression" priority="96" dxfId="0">
      <formula>=AND(G9&lt;('تنظیمات'!$C$5+42),H9&gt;('تنظیمات'!$C$5+35),F9&gt;0)</formula>
    </cfRule>
  </conditionalFormatting>
  <conditionalFormatting sqref="P9">
    <cfRule type="expression" priority="97" dxfId="0">
      <formula>=AND(G9&lt;('تنظیمات'!$C$5+49),H9&gt;('تنظیمات'!$C$5+42),F9&gt;0)</formula>
    </cfRule>
  </conditionalFormatting>
  <conditionalFormatting sqref="Q9">
    <cfRule type="expression" priority="98" dxfId="0">
      <formula>=AND(G9&lt;('تنظیمات'!$C$5+56),H9&gt;('تنظیمات'!$C$5+49),F9&gt;0)</formula>
    </cfRule>
  </conditionalFormatting>
  <conditionalFormatting sqref="R9">
    <cfRule type="expression" priority="99" dxfId="0">
      <formula>=AND(G9&lt;('تنظیمات'!$C$5+63),H9&gt;('تنظیمات'!$C$5+56),F9&gt;0)</formula>
    </cfRule>
  </conditionalFormatting>
  <conditionalFormatting sqref="S9">
    <cfRule type="expression" priority="100" dxfId="0">
      <formula>=AND(G9&lt;('تنظیمات'!$C$5+70),H9&gt;('تنظیمات'!$C$5+63),F9&gt;0)</formula>
    </cfRule>
  </conditionalFormatting>
  <conditionalFormatting sqref="T9">
    <cfRule type="expression" priority="101" dxfId="0">
      <formula>=AND(G9&lt;('تنظیمات'!$C$5+77),H9&gt;('تنظیمات'!$C$5+70),F9&gt;0)</formula>
    </cfRule>
  </conditionalFormatting>
  <conditionalFormatting sqref="U9">
    <cfRule type="expression" priority="102" dxfId="0">
      <formula>=AND(G9&lt;('تنظیمات'!$C$5+84),H9&gt;('تنظیمات'!$C$5+77),F9&gt;0)</formula>
    </cfRule>
  </conditionalFormatting>
  <conditionalFormatting sqref="V9">
    <cfRule type="expression" priority="103" dxfId="0">
      <formula>=AND(G9&lt;('تنظیمات'!$C$5+91),H9&gt;('تنظیمات'!$C$5+84),F9&gt;0)</formula>
    </cfRule>
  </conditionalFormatting>
  <conditionalFormatting sqref="W9">
    <cfRule type="expression" priority="104" dxfId="0">
      <formula>=AND(G9&lt;('تنظیمات'!$C$5+98),H9&gt;('تنظیمات'!$C$5+91),F9&gt;0)</formula>
    </cfRule>
  </conditionalFormatting>
  <conditionalFormatting sqref="X9">
    <cfRule type="expression" priority="105" dxfId="0">
      <formula>=AND(G9&lt;('تنظیمات'!$C$5+105),H9&gt;('تنظیمات'!$C$5+98),F9&gt;0)</formula>
    </cfRule>
  </conditionalFormatting>
  <conditionalFormatting sqref="Y9">
    <cfRule type="expression" priority="106" dxfId="0">
      <formula>=AND(G9&lt;('تنظیمات'!$C$5+112),H9&gt;('تنظیمات'!$C$5+105),F9&gt;0)</formula>
    </cfRule>
  </conditionalFormatting>
  <conditionalFormatting sqref="Z9">
    <cfRule type="expression" priority="107" dxfId="0">
      <formula>=AND(G9&lt;('تنظیمات'!$C$5+119),H9&gt;('تنظیمات'!$C$5+112),F9&gt;0)</formula>
    </cfRule>
  </conditionalFormatting>
  <conditionalFormatting sqref="AA9">
    <cfRule type="expression" priority="108" dxfId="0">
      <formula>=AND(G9&lt;('تنظیمات'!$C$5+126),H9&gt;('تنظیمات'!$C$5+119),F9&gt;0)</formula>
    </cfRule>
  </conditionalFormatting>
  <conditionalFormatting sqref="AB9">
    <cfRule type="expression" priority="109" dxfId="0">
      <formula>=AND(G9&lt;('تنظیمات'!$C$5+133),H9&gt;('تنظیمات'!$C$5+126),F9&gt;0)</formula>
    </cfRule>
  </conditionalFormatting>
  <conditionalFormatting sqref="AC9">
    <cfRule type="expression" priority="110" dxfId="0">
      <formula>=AND(G9&lt;('تنظیمات'!$C$5+140),H9&gt;('تنظیمات'!$C$5+133),F9&gt;0)</formula>
    </cfRule>
  </conditionalFormatting>
  <conditionalFormatting sqref="AD9">
    <cfRule type="expression" priority="111" dxfId="0">
      <formula>=AND(G9&lt;('تنظیمات'!$C$5+147),H9&gt;('تنظیمات'!$C$5+140),F9&gt;0)</formula>
    </cfRule>
  </conditionalFormatting>
  <conditionalFormatting sqref="AE9">
    <cfRule type="expression" priority="112" dxfId="0">
      <formula>=AND(G9&lt;('تنظیمات'!$C$5+154),H9&gt;('تنظیمات'!$C$5+147),F9&gt;0)</formula>
    </cfRule>
  </conditionalFormatting>
  <conditionalFormatting sqref="AF9">
    <cfRule type="expression" priority="113" dxfId="0">
      <formula>=AND(G9&lt;('تنظیمات'!$C$5+161),H9&gt;('تنظیمات'!$C$5+154),F9&gt;0)</formula>
    </cfRule>
  </conditionalFormatting>
  <conditionalFormatting sqref="AG9">
    <cfRule type="expression" priority="114" dxfId="0">
      <formula>=AND(G9&lt;('تنظیمات'!$C$5+168),H9&gt;('تنظیمات'!$C$5+161),F9&gt;0)</formula>
    </cfRule>
  </conditionalFormatting>
  <conditionalFormatting sqref="AH9">
    <cfRule type="expression" priority="115" dxfId="0">
      <formula>=AND(G9&lt;('تنظیمات'!$C$5+175),H9&gt;('تنظیمات'!$C$5+168),F9&gt;0)</formula>
    </cfRule>
  </conditionalFormatting>
  <conditionalFormatting sqref="AI9">
    <cfRule type="expression" priority="116" dxfId="0">
      <formula>=AND(G9&lt;('تنظیمات'!$C$5+182),H9&gt;('تنظیمات'!$C$5+175),F9&gt;0)</formula>
    </cfRule>
  </conditionalFormatting>
  <conditionalFormatting sqref="AJ9">
    <cfRule type="expression" priority="117" dxfId="0">
      <formula>=AND(G9&lt;('تنظیمات'!$C$5+189),H9&gt;('تنظیمات'!$C$5+182),F9&gt;0)</formula>
    </cfRule>
  </conditionalFormatting>
  <conditionalFormatting sqref="AK9">
    <cfRule type="expression" priority="118" dxfId="0">
      <formula>=AND(G9&lt;('تنظیمات'!$C$5+196),H9&gt;('تنظیمات'!$C$5+189),F9&gt;0)</formula>
    </cfRule>
  </conditionalFormatting>
  <conditionalFormatting sqref="AL9">
    <cfRule type="expression" priority="119" dxfId="0">
      <formula>=AND(G9&lt;('تنظیمات'!$C$5+203),H9&gt;('تنظیمات'!$C$5+196),F9&gt;0)</formula>
    </cfRule>
  </conditionalFormatting>
  <conditionalFormatting sqref="AM9">
    <cfRule type="expression" priority="120" dxfId="0">
      <formula>=AND(G9&lt;('تنظیمات'!$C$5+210),H9&gt;('تنظیمات'!$C$5+203),F9&gt;0)</formula>
    </cfRule>
  </conditionalFormatting>
  <conditionalFormatting sqref="J10">
    <cfRule type="expression" priority="121" dxfId="0">
      <formula>=AND(G10&lt;('تنظیمات'!$C$5+7),H10&gt;('تنظیمات'!$C$5+0),F10&gt;0)</formula>
    </cfRule>
  </conditionalFormatting>
  <conditionalFormatting sqref="K10">
    <cfRule type="expression" priority="122" dxfId="0">
      <formula>=AND(G10&lt;('تنظیمات'!$C$5+14),H10&gt;('تنظیمات'!$C$5+7),F10&gt;0)</formula>
    </cfRule>
  </conditionalFormatting>
  <conditionalFormatting sqref="L10">
    <cfRule type="expression" priority="123" dxfId="0">
      <formula>=AND(G10&lt;('تنظیمات'!$C$5+21),H10&gt;('تنظیمات'!$C$5+14),F10&gt;0)</formula>
    </cfRule>
  </conditionalFormatting>
  <conditionalFormatting sqref="M10">
    <cfRule type="expression" priority="124" dxfId="0">
      <formula>=AND(G10&lt;('تنظیمات'!$C$5+28),H10&gt;('تنظیمات'!$C$5+21),F10&gt;0)</formula>
    </cfRule>
  </conditionalFormatting>
  <conditionalFormatting sqref="N10">
    <cfRule type="expression" priority="125" dxfId="0">
      <formula>=AND(G10&lt;('تنظیمات'!$C$5+35),H10&gt;('تنظیمات'!$C$5+28),F10&gt;0)</formula>
    </cfRule>
  </conditionalFormatting>
  <conditionalFormatting sqref="O10">
    <cfRule type="expression" priority="126" dxfId="0">
      <formula>=AND(G10&lt;('تنظیمات'!$C$5+42),H10&gt;('تنظیمات'!$C$5+35),F10&gt;0)</formula>
    </cfRule>
  </conditionalFormatting>
  <conditionalFormatting sqref="P10">
    <cfRule type="expression" priority="127" dxfId="0">
      <formula>=AND(G10&lt;('تنظیمات'!$C$5+49),H10&gt;('تنظیمات'!$C$5+42),F10&gt;0)</formula>
    </cfRule>
  </conditionalFormatting>
  <conditionalFormatting sqref="Q10">
    <cfRule type="expression" priority="128" dxfId="0">
      <formula>=AND(G10&lt;('تنظیمات'!$C$5+56),H10&gt;('تنظیمات'!$C$5+49),F10&gt;0)</formula>
    </cfRule>
  </conditionalFormatting>
  <conditionalFormatting sqref="R10">
    <cfRule type="expression" priority="129" dxfId="0">
      <formula>=AND(G10&lt;('تنظیمات'!$C$5+63),H10&gt;('تنظیمات'!$C$5+56),F10&gt;0)</formula>
    </cfRule>
  </conditionalFormatting>
  <conditionalFormatting sqref="S10">
    <cfRule type="expression" priority="130" dxfId="0">
      <formula>=AND(G10&lt;('تنظیمات'!$C$5+70),H10&gt;('تنظیمات'!$C$5+63),F10&gt;0)</formula>
    </cfRule>
  </conditionalFormatting>
  <conditionalFormatting sqref="T10">
    <cfRule type="expression" priority="131" dxfId="0">
      <formula>=AND(G10&lt;('تنظیمات'!$C$5+77),H10&gt;('تنظیمات'!$C$5+70),F10&gt;0)</formula>
    </cfRule>
  </conditionalFormatting>
  <conditionalFormatting sqref="U10">
    <cfRule type="expression" priority="132" dxfId="0">
      <formula>=AND(G10&lt;('تنظیمات'!$C$5+84),H10&gt;('تنظیمات'!$C$5+77),F10&gt;0)</formula>
    </cfRule>
  </conditionalFormatting>
  <conditionalFormatting sqref="V10">
    <cfRule type="expression" priority="133" dxfId="0">
      <formula>=AND(G10&lt;('تنظیمات'!$C$5+91),H10&gt;('تنظیمات'!$C$5+84),F10&gt;0)</formula>
    </cfRule>
  </conditionalFormatting>
  <conditionalFormatting sqref="W10">
    <cfRule type="expression" priority="134" dxfId="0">
      <formula>=AND(G10&lt;('تنظیمات'!$C$5+98),H10&gt;('تنظیمات'!$C$5+91),F10&gt;0)</formula>
    </cfRule>
  </conditionalFormatting>
  <conditionalFormatting sqref="X10">
    <cfRule type="expression" priority="135" dxfId="0">
      <formula>=AND(G10&lt;('تنظیمات'!$C$5+105),H10&gt;('تنظیمات'!$C$5+98),F10&gt;0)</formula>
    </cfRule>
  </conditionalFormatting>
  <conditionalFormatting sqref="Y10">
    <cfRule type="expression" priority="136" dxfId="0">
      <formula>=AND(G10&lt;('تنظیمات'!$C$5+112),H10&gt;('تنظیمات'!$C$5+105),F10&gt;0)</formula>
    </cfRule>
  </conditionalFormatting>
  <conditionalFormatting sqref="Z10">
    <cfRule type="expression" priority="137" dxfId="0">
      <formula>=AND(G10&lt;('تنظیمات'!$C$5+119),H10&gt;('تنظیمات'!$C$5+112),F10&gt;0)</formula>
    </cfRule>
  </conditionalFormatting>
  <conditionalFormatting sqref="AA10">
    <cfRule type="expression" priority="138" dxfId="0">
      <formula>=AND(G10&lt;('تنظیمات'!$C$5+126),H10&gt;('تنظیمات'!$C$5+119),F10&gt;0)</formula>
    </cfRule>
  </conditionalFormatting>
  <conditionalFormatting sqref="AB10">
    <cfRule type="expression" priority="139" dxfId="0">
      <formula>=AND(G10&lt;('تنظیمات'!$C$5+133),H10&gt;('تنظیمات'!$C$5+126),F10&gt;0)</formula>
    </cfRule>
  </conditionalFormatting>
  <conditionalFormatting sqref="AC10">
    <cfRule type="expression" priority="140" dxfId="0">
      <formula>=AND(G10&lt;('تنظیمات'!$C$5+140),H10&gt;('تنظیمات'!$C$5+133),F10&gt;0)</formula>
    </cfRule>
  </conditionalFormatting>
  <conditionalFormatting sqref="AD10">
    <cfRule type="expression" priority="141" dxfId="0">
      <formula>=AND(G10&lt;('تنظیمات'!$C$5+147),H10&gt;('تنظیمات'!$C$5+140),F10&gt;0)</formula>
    </cfRule>
  </conditionalFormatting>
  <conditionalFormatting sqref="AE10">
    <cfRule type="expression" priority="142" dxfId="0">
      <formula>=AND(G10&lt;('تنظیمات'!$C$5+154),H10&gt;('تنظیمات'!$C$5+147),F10&gt;0)</formula>
    </cfRule>
  </conditionalFormatting>
  <conditionalFormatting sqref="AF10">
    <cfRule type="expression" priority="143" dxfId="0">
      <formula>=AND(G10&lt;('تنظیمات'!$C$5+161),H10&gt;('تنظیمات'!$C$5+154),F10&gt;0)</formula>
    </cfRule>
  </conditionalFormatting>
  <conditionalFormatting sqref="AG10">
    <cfRule type="expression" priority="144" dxfId="0">
      <formula>=AND(G10&lt;('تنظیمات'!$C$5+168),H10&gt;('تنظیمات'!$C$5+161),F10&gt;0)</formula>
    </cfRule>
  </conditionalFormatting>
  <conditionalFormatting sqref="AH10">
    <cfRule type="expression" priority="145" dxfId="0">
      <formula>=AND(G10&lt;('تنظیمات'!$C$5+175),H10&gt;('تنظیمات'!$C$5+168),F10&gt;0)</formula>
    </cfRule>
  </conditionalFormatting>
  <conditionalFormatting sqref="AI10">
    <cfRule type="expression" priority="146" dxfId="0">
      <formula>=AND(G10&lt;('تنظیمات'!$C$5+182),H10&gt;('تنظیمات'!$C$5+175),F10&gt;0)</formula>
    </cfRule>
  </conditionalFormatting>
  <conditionalFormatting sqref="AJ10">
    <cfRule type="expression" priority="147" dxfId="0">
      <formula>=AND(G10&lt;('تنظیمات'!$C$5+189),H10&gt;('تنظیمات'!$C$5+182),F10&gt;0)</formula>
    </cfRule>
  </conditionalFormatting>
  <conditionalFormatting sqref="AK10">
    <cfRule type="expression" priority="148" dxfId="0">
      <formula>=AND(G10&lt;('تنظیمات'!$C$5+196),H10&gt;('تنظیمات'!$C$5+189),F10&gt;0)</formula>
    </cfRule>
  </conditionalFormatting>
  <conditionalFormatting sqref="AL10">
    <cfRule type="expression" priority="149" dxfId="0">
      <formula>=AND(G10&lt;('تنظیمات'!$C$5+203),H10&gt;('تنظیمات'!$C$5+196),F10&gt;0)</formula>
    </cfRule>
  </conditionalFormatting>
  <conditionalFormatting sqref="AM10">
    <cfRule type="expression" priority="150" dxfId="0">
      <formula>=AND(G10&lt;('تنظیمات'!$C$5+210),H10&gt;('تنظیمات'!$C$5+203),F10&gt;0)</formula>
    </cfRule>
  </conditionalFormatting>
  <conditionalFormatting sqref="J11">
    <cfRule type="expression" priority="151" dxfId="0">
      <formula>=AND(G11&lt;('تنظیمات'!$C$5+7),H11&gt;('تنظیمات'!$C$5+0),F11&gt;0)</formula>
    </cfRule>
  </conditionalFormatting>
  <conditionalFormatting sqref="K11">
    <cfRule type="expression" priority="152" dxfId="0">
      <formula>=AND(G11&lt;('تنظیمات'!$C$5+14),H11&gt;('تنظیمات'!$C$5+7),F11&gt;0)</formula>
    </cfRule>
  </conditionalFormatting>
  <conditionalFormatting sqref="L11">
    <cfRule type="expression" priority="153" dxfId="0">
      <formula>=AND(G11&lt;('تنظیمات'!$C$5+21),H11&gt;('تنظیمات'!$C$5+14),F11&gt;0)</formula>
    </cfRule>
  </conditionalFormatting>
  <conditionalFormatting sqref="M11">
    <cfRule type="expression" priority="154" dxfId="0">
      <formula>=AND(G11&lt;('تنظیمات'!$C$5+28),H11&gt;('تنظیمات'!$C$5+21),F11&gt;0)</formula>
    </cfRule>
  </conditionalFormatting>
  <conditionalFormatting sqref="N11">
    <cfRule type="expression" priority="155" dxfId="0">
      <formula>=AND(G11&lt;('تنظیمات'!$C$5+35),H11&gt;('تنظیمات'!$C$5+28),F11&gt;0)</formula>
    </cfRule>
  </conditionalFormatting>
  <conditionalFormatting sqref="O11">
    <cfRule type="expression" priority="156" dxfId="0">
      <formula>=AND(G11&lt;('تنظیمات'!$C$5+42),H11&gt;('تنظیمات'!$C$5+35),F11&gt;0)</formula>
    </cfRule>
  </conditionalFormatting>
  <conditionalFormatting sqref="P11">
    <cfRule type="expression" priority="157" dxfId="0">
      <formula>=AND(G11&lt;('تنظیمات'!$C$5+49),H11&gt;('تنظیمات'!$C$5+42),F11&gt;0)</formula>
    </cfRule>
  </conditionalFormatting>
  <conditionalFormatting sqref="Q11">
    <cfRule type="expression" priority="158" dxfId="0">
      <formula>=AND(G11&lt;('تنظیمات'!$C$5+56),H11&gt;('تنظیمات'!$C$5+49),F11&gt;0)</formula>
    </cfRule>
  </conditionalFormatting>
  <conditionalFormatting sqref="R11">
    <cfRule type="expression" priority="159" dxfId="0">
      <formula>=AND(G11&lt;('تنظیمات'!$C$5+63),H11&gt;('تنظیمات'!$C$5+56),F11&gt;0)</formula>
    </cfRule>
  </conditionalFormatting>
  <conditionalFormatting sqref="S11">
    <cfRule type="expression" priority="160" dxfId="0">
      <formula>=AND(G11&lt;('تنظیمات'!$C$5+70),H11&gt;('تنظیمات'!$C$5+63),F11&gt;0)</formula>
    </cfRule>
  </conditionalFormatting>
  <conditionalFormatting sqref="T11">
    <cfRule type="expression" priority="161" dxfId="0">
      <formula>=AND(G11&lt;('تنظیمات'!$C$5+77),H11&gt;('تنظیمات'!$C$5+70),F11&gt;0)</formula>
    </cfRule>
  </conditionalFormatting>
  <conditionalFormatting sqref="U11">
    <cfRule type="expression" priority="162" dxfId="0">
      <formula>=AND(G11&lt;('تنظیمات'!$C$5+84),H11&gt;('تنظیمات'!$C$5+77),F11&gt;0)</formula>
    </cfRule>
  </conditionalFormatting>
  <conditionalFormatting sqref="V11">
    <cfRule type="expression" priority="163" dxfId="0">
      <formula>=AND(G11&lt;('تنظیمات'!$C$5+91),H11&gt;('تنظیمات'!$C$5+84),F11&gt;0)</formula>
    </cfRule>
  </conditionalFormatting>
  <conditionalFormatting sqref="W11">
    <cfRule type="expression" priority="164" dxfId="0">
      <formula>=AND(G11&lt;('تنظیمات'!$C$5+98),H11&gt;('تنظیمات'!$C$5+91),F11&gt;0)</formula>
    </cfRule>
  </conditionalFormatting>
  <conditionalFormatting sqref="X11">
    <cfRule type="expression" priority="165" dxfId="0">
      <formula>=AND(G11&lt;('تنظیمات'!$C$5+105),H11&gt;('تنظیمات'!$C$5+98),F11&gt;0)</formula>
    </cfRule>
  </conditionalFormatting>
  <conditionalFormatting sqref="Y11">
    <cfRule type="expression" priority="166" dxfId="0">
      <formula>=AND(G11&lt;('تنظیمات'!$C$5+112),H11&gt;('تنظیمات'!$C$5+105),F11&gt;0)</formula>
    </cfRule>
  </conditionalFormatting>
  <conditionalFormatting sqref="Z11">
    <cfRule type="expression" priority="167" dxfId="0">
      <formula>=AND(G11&lt;('تنظیمات'!$C$5+119),H11&gt;('تنظیمات'!$C$5+112),F11&gt;0)</formula>
    </cfRule>
  </conditionalFormatting>
  <conditionalFormatting sqref="AA11">
    <cfRule type="expression" priority="168" dxfId="0">
      <formula>=AND(G11&lt;('تنظیمات'!$C$5+126),H11&gt;('تنظیمات'!$C$5+119),F11&gt;0)</formula>
    </cfRule>
  </conditionalFormatting>
  <conditionalFormatting sqref="AB11">
    <cfRule type="expression" priority="169" dxfId="0">
      <formula>=AND(G11&lt;('تنظیمات'!$C$5+133),H11&gt;('تنظیمات'!$C$5+126),F11&gt;0)</formula>
    </cfRule>
  </conditionalFormatting>
  <conditionalFormatting sqref="AC11">
    <cfRule type="expression" priority="170" dxfId="0">
      <formula>=AND(G11&lt;('تنظیمات'!$C$5+140),H11&gt;('تنظیمات'!$C$5+133),F11&gt;0)</formula>
    </cfRule>
  </conditionalFormatting>
  <conditionalFormatting sqref="AD11">
    <cfRule type="expression" priority="171" dxfId="0">
      <formula>=AND(G11&lt;('تنظیمات'!$C$5+147),H11&gt;('تنظیمات'!$C$5+140),F11&gt;0)</formula>
    </cfRule>
  </conditionalFormatting>
  <conditionalFormatting sqref="AE11">
    <cfRule type="expression" priority="172" dxfId="0">
      <formula>=AND(G11&lt;('تنظیمات'!$C$5+154),H11&gt;('تنظیمات'!$C$5+147),F11&gt;0)</formula>
    </cfRule>
  </conditionalFormatting>
  <conditionalFormatting sqref="AF11">
    <cfRule type="expression" priority="173" dxfId="0">
      <formula>=AND(G11&lt;('تنظیمات'!$C$5+161),H11&gt;('تنظیمات'!$C$5+154),F11&gt;0)</formula>
    </cfRule>
  </conditionalFormatting>
  <conditionalFormatting sqref="AG11">
    <cfRule type="expression" priority="174" dxfId="0">
      <formula>=AND(G11&lt;('تنظیمات'!$C$5+168),H11&gt;('تنظیمات'!$C$5+161),F11&gt;0)</formula>
    </cfRule>
  </conditionalFormatting>
  <conditionalFormatting sqref="AH11">
    <cfRule type="expression" priority="175" dxfId="0">
      <formula>=AND(G11&lt;('تنظیمات'!$C$5+175),H11&gt;('تنظیمات'!$C$5+168),F11&gt;0)</formula>
    </cfRule>
  </conditionalFormatting>
  <conditionalFormatting sqref="AI11">
    <cfRule type="expression" priority="176" dxfId="0">
      <formula>=AND(G11&lt;('تنظیمات'!$C$5+182),H11&gt;('تنظیمات'!$C$5+175),F11&gt;0)</formula>
    </cfRule>
  </conditionalFormatting>
  <conditionalFormatting sqref="AJ11">
    <cfRule type="expression" priority="177" dxfId="0">
      <formula>=AND(G11&lt;('تنظیمات'!$C$5+189),H11&gt;('تنظیمات'!$C$5+182),F11&gt;0)</formula>
    </cfRule>
  </conditionalFormatting>
  <conditionalFormatting sqref="AK11">
    <cfRule type="expression" priority="178" dxfId="0">
      <formula>=AND(G11&lt;('تنظیمات'!$C$5+196),H11&gt;('تنظیمات'!$C$5+189),F11&gt;0)</formula>
    </cfRule>
  </conditionalFormatting>
  <conditionalFormatting sqref="AL11">
    <cfRule type="expression" priority="179" dxfId="0">
      <formula>=AND(G11&lt;('تنظیمات'!$C$5+203),H11&gt;('تنظیمات'!$C$5+196),F11&gt;0)</formula>
    </cfRule>
  </conditionalFormatting>
  <conditionalFormatting sqref="AM11">
    <cfRule type="expression" priority="180" dxfId="0">
      <formula>=AND(G11&lt;('تنظیمات'!$C$5+210),H11&gt;('تنظیمات'!$C$5+203),F11&gt;0)</formula>
    </cfRule>
  </conditionalFormatting>
  <conditionalFormatting sqref="J12">
    <cfRule type="expression" priority="181" dxfId="0">
      <formula>=AND(G12&lt;('تنظیمات'!$C$5+7),H12&gt;('تنظیمات'!$C$5+0),F12&gt;0)</formula>
    </cfRule>
  </conditionalFormatting>
  <conditionalFormatting sqref="K12">
    <cfRule type="expression" priority="182" dxfId="0">
      <formula>=AND(G12&lt;('تنظیمات'!$C$5+14),H12&gt;('تنظیمات'!$C$5+7),F12&gt;0)</formula>
    </cfRule>
  </conditionalFormatting>
  <conditionalFormatting sqref="L12">
    <cfRule type="expression" priority="183" dxfId="0">
      <formula>=AND(G12&lt;('تنظیمات'!$C$5+21),H12&gt;('تنظیمات'!$C$5+14),F12&gt;0)</formula>
    </cfRule>
  </conditionalFormatting>
  <conditionalFormatting sqref="M12">
    <cfRule type="expression" priority="184" dxfId="0">
      <formula>=AND(G12&lt;('تنظیمات'!$C$5+28),H12&gt;('تنظیمات'!$C$5+21),F12&gt;0)</formula>
    </cfRule>
  </conditionalFormatting>
  <conditionalFormatting sqref="N12">
    <cfRule type="expression" priority="185" dxfId="0">
      <formula>=AND(G12&lt;('تنظیمات'!$C$5+35),H12&gt;('تنظیمات'!$C$5+28),F12&gt;0)</formula>
    </cfRule>
  </conditionalFormatting>
  <conditionalFormatting sqref="O12">
    <cfRule type="expression" priority="186" dxfId="0">
      <formula>=AND(G12&lt;('تنظیمات'!$C$5+42),H12&gt;('تنظیمات'!$C$5+35),F12&gt;0)</formula>
    </cfRule>
  </conditionalFormatting>
  <conditionalFormatting sqref="P12">
    <cfRule type="expression" priority="187" dxfId="0">
      <formula>=AND(G12&lt;('تنظیمات'!$C$5+49),H12&gt;('تنظیمات'!$C$5+42),F12&gt;0)</formula>
    </cfRule>
  </conditionalFormatting>
  <conditionalFormatting sqref="Q12">
    <cfRule type="expression" priority="188" dxfId="0">
      <formula>=AND(G12&lt;('تنظیمات'!$C$5+56),H12&gt;('تنظیمات'!$C$5+49),F12&gt;0)</formula>
    </cfRule>
  </conditionalFormatting>
  <conditionalFormatting sqref="R12">
    <cfRule type="expression" priority="189" dxfId="0">
      <formula>=AND(G12&lt;('تنظیمات'!$C$5+63),H12&gt;('تنظیمات'!$C$5+56),F12&gt;0)</formula>
    </cfRule>
  </conditionalFormatting>
  <conditionalFormatting sqref="S12">
    <cfRule type="expression" priority="190" dxfId="0">
      <formula>=AND(G12&lt;('تنظیمات'!$C$5+70),H12&gt;('تنظیمات'!$C$5+63),F12&gt;0)</formula>
    </cfRule>
  </conditionalFormatting>
  <conditionalFormatting sqref="T12">
    <cfRule type="expression" priority="191" dxfId="0">
      <formula>=AND(G12&lt;('تنظیمات'!$C$5+77),H12&gt;('تنظیمات'!$C$5+70),F12&gt;0)</formula>
    </cfRule>
  </conditionalFormatting>
  <conditionalFormatting sqref="U12">
    <cfRule type="expression" priority="192" dxfId="0">
      <formula>=AND(G12&lt;('تنظیمات'!$C$5+84),H12&gt;('تنظیمات'!$C$5+77),F12&gt;0)</formula>
    </cfRule>
  </conditionalFormatting>
  <conditionalFormatting sqref="V12">
    <cfRule type="expression" priority="193" dxfId="0">
      <formula>=AND(G12&lt;('تنظیمات'!$C$5+91),H12&gt;('تنظیمات'!$C$5+84),F12&gt;0)</formula>
    </cfRule>
  </conditionalFormatting>
  <conditionalFormatting sqref="W12">
    <cfRule type="expression" priority="194" dxfId="0">
      <formula>=AND(G12&lt;('تنظیمات'!$C$5+98),H12&gt;('تنظیمات'!$C$5+91),F12&gt;0)</formula>
    </cfRule>
  </conditionalFormatting>
  <conditionalFormatting sqref="X12">
    <cfRule type="expression" priority="195" dxfId="0">
      <formula>=AND(G12&lt;('تنظیمات'!$C$5+105),H12&gt;('تنظیمات'!$C$5+98),F12&gt;0)</formula>
    </cfRule>
  </conditionalFormatting>
  <conditionalFormatting sqref="Y12">
    <cfRule type="expression" priority="196" dxfId="0">
      <formula>=AND(G12&lt;('تنظیمات'!$C$5+112),H12&gt;('تنظیمات'!$C$5+105),F12&gt;0)</formula>
    </cfRule>
  </conditionalFormatting>
  <conditionalFormatting sqref="Z12">
    <cfRule type="expression" priority="197" dxfId="0">
      <formula>=AND(G12&lt;('تنظیمات'!$C$5+119),H12&gt;('تنظیمات'!$C$5+112),F12&gt;0)</formula>
    </cfRule>
  </conditionalFormatting>
  <conditionalFormatting sqref="AA12">
    <cfRule type="expression" priority="198" dxfId="0">
      <formula>=AND(G12&lt;('تنظیمات'!$C$5+126),H12&gt;('تنظیمات'!$C$5+119),F12&gt;0)</formula>
    </cfRule>
  </conditionalFormatting>
  <conditionalFormatting sqref="AB12">
    <cfRule type="expression" priority="199" dxfId="0">
      <formula>=AND(G12&lt;('تنظیمات'!$C$5+133),H12&gt;('تنظیمات'!$C$5+126),F12&gt;0)</formula>
    </cfRule>
  </conditionalFormatting>
  <conditionalFormatting sqref="AC12">
    <cfRule type="expression" priority="200" dxfId="0">
      <formula>=AND(G12&lt;('تنظیمات'!$C$5+140),H12&gt;('تنظیمات'!$C$5+133),F12&gt;0)</formula>
    </cfRule>
  </conditionalFormatting>
  <conditionalFormatting sqref="AD12">
    <cfRule type="expression" priority="201" dxfId="0">
      <formula>=AND(G12&lt;('تنظیمات'!$C$5+147),H12&gt;('تنظیمات'!$C$5+140),F12&gt;0)</formula>
    </cfRule>
  </conditionalFormatting>
  <conditionalFormatting sqref="AE12">
    <cfRule type="expression" priority="202" dxfId="0">
      <formula>=AND(G12&lt;('تنظیمات'!$C$5+154),H12&gt;('تنظیمات'!$C$5+147),F12&gt;0)</formula>
    </cfRule>
  </conditionalFormatting>
  <conditionalFormatting sqref="AF12">
    <cfRule type="expression" priority="203" dxfId="0">
      <formula>=AND(G12&lt;('تنظیمات'!$C$5+161),H12&gt;('تنظیمات'!$C$5+154),F12&gt;0)</formula>
    </cfRule>
  </conditionalFormatting>
  <conditionalFormatting sqref="AG12">
    <cfRule type="expression" priority="204" dxfId="0">
      <formula>=AND(G12&lt;('تنظیمات'!$C$5+168),H12&gt;('تنظیمات'!$C$5+161),F12&gt;0)</formula>
    </cfRule>
  </conditionalFormatting>
  <conditionalFormatting sqref="AH12">
    <cfRule type="expression" priority="205" dxfId="0">
      <formula>=AND(G12&lt;('تنظیمات'!$C$5+175),H12&gt;('تنظیمات'!$C$5+168),F12&gt;0)</formula>
    </cfRule>
  </conditionalFormatting>
  <conditionalFormatting sqref="AI12">
    <cfRule type="expression" priority="206" dxfId="0">
      <formula>=AND(G12&lt;('تنظیمات'!$C$5+182),H12&gt;('تنظیمات'!$C$5+175),F12&gt;0)</formula>
    </cfRule>
  </conditionalFormatting>
  <conditionalFormatting sqref="AJ12">
    <cfRule type="expression" priority="207" dxfId="0">
      <formula>=AND(G12&lt;('تنظیمات'!$C$5+189),H12&gt;('تنظیمات'!$C$5+182),F12&gt;0)</formula>
    </cfRule>
  </conditionalFormatting>
  <conditionalFormatting sqref="AK12">
    <cfRule type="expression" priority="208" dxfId="0">
      <formula>=AND(G12&lt;('تنظیمات'!$C$5+196),H12&gt;('تنظیمات'!$C$5+189),F12&gt;0)</formula>
    </cfRule>
  </conditionalFormatting>
  <conditionalFormatting sqref="AL12">
    <cfRule type="expression" priority="209" dxfId="0">
      <formula>=AND(G12&lt;('تنظیمات'!$C$5+203),H12&gt;('تنظیمات'!$C$5+196),F12&gt;0)</formula>
    </cfRule>
  </conditionalFormatting>
  <conditionalFormatting sqref="AM12">
    <cfRule type="expression" priority="210" dxfId="0">
      <formula>=AND(G12&lt;('تنظیمات'!$C$5+210),H12&gt;('تنظیمات'!$C$5+203),F12&gt;0)</formula>
    </cfRule>
  </conditionalFormatting>
  <conditionalFormatting sqref="J13">
    <cfRule type="expression" priority="211" dxfId="0">
      <formula>=AND(G13&lt;('تنظیمات'!$C$5+7),H13&gt;('تنظیمات'!$C$5+0),F13&gt;0)</formula>
    </cfRule>
  </conditionalFormatting>
  <conditionalFormatting sqref="K13">
    <cfRule type="expression" priority="212" dxfId="0">
      <formula>=AND(G13&lt;('تنظیمات'!$C$5+14),H13&gt;('تنظیمات'!$C$5+7),F13&gt;0)</formula>
    </cfRule>
  </conditionalFormatting>
  <conditionalFormatting sqref="L13">
    <cfRule type="expression" priority="213" dxfId="0">
      <formula>=AND(G13&lt;('تنظیمات'!$C$5+21),H13&gt;('تنظیمات'!$C$5+14),F13&gt;0)</formula>
    </cfRule>
  </conditionalFormatting>
  <conditionalFormatting sqref="M13">
    <cfRule type="expression" priority="214" dxfId="0">
      <formula>=AND(G13&lt;('تنظیمات'!$C$5+28),H13&gt;('تنظیمات'!$C$5+21),F13&gt;0)</formula>
    </cfRule>
  </conditionalFormatting>
  <conditionalFormatting sqref="N13">
    <cfRule type="expression" priority="215" dxfId="0">
      <formula>=AND(G13&lt;('تنظیمات'!$C$5+35),H13&gt;('تنظیمات'!$C$5+28),F13&gt;0)</formula>
    </cfRule>
  </conditionalFormatting>
  <conditionalFormatting sqref="O13">
    <cfRule type="expression" priority="216" dxfId="0">
      <formula>=AND(G13&lt;('تنظیمات'!$C$5+42),H13&gt;('تنظیمات'!$C$5+35),F13&gt;0)</formula>
    </cfRule>
  </conditionalFormatting>
  <conditionalFormatting sqref="P13">
    <cfRule type="expression" priority="217" dxfId="0">
      <formula>=AND(G13&lt;('تنظیمات'!$C$5+49),H13&gt;('تنظیمات'!$C$5+42),F13&gt;0)</formula>
    </cfRule>
  </conditionalFormatting>
  <conditionalFormatting sqref="Q13">
    <cfRule type="expression" priority="218" dxfId="0">
      <formula>=AND(G13&lt;('تنظیمات'!$C$5+56),H13&gt;('تنظیمات'!$C$5+49),F13&gt;0)</formula>
    </cfRule>
  </conditionalFormatting>
  <conditionalFormatting sqref="R13">
    <cfRule type="expression" priority="219" dxfId="0">
      <formula>=AND(G13&lt;('تنظیمات'!$C$5+63),H13&gt;('تنظیمات'!$C$5+56),F13&gt;0)</formula>
    </cfRule>
  </conditionalFormatting>
  <conditionalFormatting sqref="S13">
    <cfRule type="expression" priority="220" dxfId="0">
      <formula>=AND(G13&lt;('تنظیمات'!$C$5+70),H13&gt;('تنظیمات'!$C$5+63),F13&gt;0)</formula>
    </cfRule>
  </conditionalFormatting>
  <conditionalFormatting sqref="T13">
    <cfRule type="expression" priority="221" dxfId="0">
      <formula>=AND(G13&lt;('تنظیمات'!$C$5+77),H13&gt;('تنظیمات'!$C$5+70),F13&gt;0)</formula>
    </cfRule>
  </conditionalFormatting>
  <conditionalFormatting sqref="U13">
    <cfRule type="expression" priority="222" dxfId="0">
      <formula>=AND(G13&lt;('تنظیمات'!$C$5+84),H13&gt;('تنظیمات'!$C$5+77),F13&gt;0)</formula>
    </cfRule>
  </conditionalFormatting>
  <conditionalFormatting sqref="V13">
    <cfRule type="expression" priority="223" dxfId="0">
      <formula>=AND(G13&lt;('تنظیمات'!$C$5+91),H13&gt;('تنظیمات'!$C$5+84),F13&gt;0)</formula>
    </cfRule>
  </conditionalFormatting>
  <conditionalFormatting sqref="W13">
    <cfRule type="expression" priority="224" dxfId="0">
      <formula>=AND(G13&lt;('تنظیمات'!$C$5+98),H13&gt;('تنظیمات'!$C$5+91),F13&gt;0)</formula>
    </cfRule>
  </conditionalFormatting>
  <conditionalFormatting sqref="X13">
    <cfRule type="expression" priority="225" dxfId="0">
      <formula>=AND(G13&lt;('تنظیمات'!$C$5+105),H13&gt;('تنظیمات'!$C$5+98),F13&gt;0)</formula>
    </cfRule>
  </conditionalFormatting>
  <conditionalFormatting sqref="Y13">
    <cfRule type="expression" priority="226" dxfId="0">
      <formula>=AND(G13&lt;('تنظیمات'!$C$5+112),H13&gt;('تنظیمات'!$C$5+105),F13&gt;0)</formula>
    </cfRule>
  </conditionalFormatting>
  <conditionalFormatting sqref="Z13">
    <cfRule type="expression" priority="227" dxfId="0">
      <formula>=AND(G13&lt;('تنظیمات'!$C$5+119),H13&gt;('تنظیمات'!$C$5+112),F13&gt;0)</formula>
    </cfRule>
  </conditionalFormatting>
  <conditionalFormatting sqref="AA13">
    <cfRule type="expression" priority="228" dxfId="0">
      <formula>=AND(G13&lt;('تنظیمات'!$C$5+126),H13&gt;('تنظیمات'!$C$5+119),F13&gt;0)</formula>
    </cfRule>
  </conditionalFormatting>
  <conditionalFormatting sqref="AB13">
    <cfRule type="expression" priority="229" dxfId="0">
      <formula>=AND(G13&lt;('تنظیمات'!$C$5+133),H13&gt;('تنظیمات'!$C$5+126),F13&gt;0)</formula>
    </cfRule>
  </conditionalFormatting>
  <conditionalFormatting sqref="AC13">
    <cfRule type="expression" priority="230" dxfId="0">
      <formula>=AND(G13&lt;('تنظیمات'!$C$5+140),H13&gt;('تنظیمات'!$C$5+133),F13&gt;0)</formula>
    </cfRule>
  </conditionalFormatting>
  <conditionalFormatting sqref="AD13">
    <cfRule type="expression" priority="231" dxfId="0">
      <formula>=AND(G13&lt;('تنظیمات'!$C$5+147),H13&gt;('تنظیمات'!$C$5+140),F13&gt;0)</formula>
    </cfRule>
  </conditionalFormatting>
  <conditionalFormatting sqref="AE13">
    <cfRule type="expression" priority="232" dxfId="0">
      <formula>=AND(G13&lt;('تنظیمات'!$C$5+154),H13&gt;('تنظیمات'!$C$5+147),F13&gt;0)</formula>
    </cfRule>
  </conditionalFormatting>
  <conditionalFormatting sqref="AF13">
    <cfRule type="expression" priority="233" dxfId="0">
      <formula>=AND(G13&lt;('تنظیمات'!$C$5+161),H13&gt;('تنظیمات'!$C$5+154),F13&gt;0)</formula>
    </cfRule>
  </conditionalFormatting>
  <conditionalFormatting sqref="AG13">
    <cfRule type="expression" priority="234" dxfId="0">
      <formula>=AND(G13&lt;('تنظیمات'!$C$5+168),H13&gt;('تنظیمات'!$C$5+161),F13&gt;0)</formula>
    </cfRule>
  </conditionalFormatting>
  <conditionalFormatting sqref="AH13">
    <cfRule type="expression" priority="235" dxfId="0">
      <formula>=AND(G13&lt;('تنظیمات'!$C$5+175),H13&gt;('تنظیمات'!$C$5+168),F13&gt;0)</formula>
    </cfRule>
  </conditionalFormatting>
  <conditionalFormatting sqref="AI13">
    <cfRule type="expression" priority="236" dxfId="0">
      <formula>=AND(G13&lt;('تنظیمات'!$C$5+182),H13&gt;('تنظیمات'!$C$5+175),F13&gt;0)</formula>
    </cfRule>
  </conditionalFormatting>
  <conditionalFormatting sqref="AJ13">
    <cfRule type="expression" priority="237" dxfId="0">
      <formula>=AND(G13&lt;('تنظیمات'!$C$5+189),H13&gt;('تنظیمات'!$C$5+182),F13&gt;0)</formula>
    </cfRule>
  </conditionalFormatting>
  <conditionalFormatting sqref="AK13">
    <cfRule type="expression" priority="238" dxfId="0">
      <formula>=AND(G13&lt;('تنظیمات'!$C$5+196),H13&gt;('تنظیمات'!$C$5+189),F13&gt;0)</formula>
    </cfRule>
  </conditionalFormatting>
  <conditionalFormatting sqref="AL13">
    <cfRule type="expression" priority="239" dxfId="0">
      <formula>=AND(G13&lt;('تنظیمات'!$C$5+203),H13&gt;('تنظیمات'!$C$5+196),F13&gt;0)</formula>
    </cfRule>
  </conditionalFormatting>
  <conditionalFormatting sqref="AM13">
    <cfRule type="expression" priority="240" dxfId="0">
      <formula>=AND(G13&lt;('تنظیمات'!$C$5+210),H13&gt;('تنظیمات'!$C$5+203),F13&gt;0)</formula>
    </cfRule>
  </conditionalFormatting>
  <conditionalFormatting sqref="J14">
    <cfRule type="expression" priority="241" dxfId="0">
      <formula>=AND(G14&lt;('تنظیمات'!$C$5+7),H14&gt;('تنظیمات'!$C$5+0),F14&gt;0)</formula>
    </cfRule>
  </conditionalFormatting>
  <conditionalFormatting sqref="K14">
    <cfRule type="expression" priority="242" dxfId="0">
      <formula>=AND(G14&lt;('تنظیمات'!$C$5+14),H14&gt;('تنظیمات'!$C$5+7),F14&gt;0)</formula>
    </cfRule>
  </conditionalFormatting>
  <conditionalFormatting sqref="L14">
    <cfRule type="expression" priority="243" dxfId="0">
      <formula>=AND(G14&lt;('تنظیمات'!$C$5+21),H14&gt;('تنظیمات'!$C$5+14),F14&gt;0)</formula>
    </cfRule>
  </conditionalFormatting>
  <conditionalFormatting sqref="M14">
    <cfRule type="expression" priority="244" dxfId="0">
      <formula>=AND(G14&lt;('تنظیمات'!$C$5+28),H14&gt;('تنظیمات'!$C$5+21),F14&gt;0)</formula>
    </cfRule>
  </conditionalFormatting>
  <conditionalFormatting sqref="N14">
    <cfRule type="expression" priority="245" dxfId="0">
      <formula>=AND(G14&lt;('تنظیمات'!$C$5+35),H14&gt;('تنظیمات'!$C$5+28),F14&gt;0)</formula>
    </cfRule>
  </conditionalFormatting>
  <conditionalFormatting sqref="O14">
    <cfRule type="expression" priority="246" dxfId="0">
      <formula>=AND(G14&lt;('تنظیمات'!$C$5+42),H14&gt;('تنظیمات'!$C$5+35),F14&gt;0)</formula>
    </cfRule>
  </conditionalFormatting>
  <conditionalFormatting sqref="P14">
    <cfRule type="expression" priority="247" dxfId="0">
      <formula>=AND(G14&lt;('تنظیمات'!$C$5+49),H14&gt;('تنظیمات'!$C$5+42),F14&gt;0)</formula>
    </cfRule>
  </conditionalFormatting>
  <conditionalFormatting sqref="Q14">
    <cfRule type="expression" priority="248" dxfId="0">
      <formula>=AND(G14&lt;('تنظیمات'!$C$5+56),H14&gt;('تنظیمات'!$C$5+49),F14&gt;0)</formula>
    </cfRule>
  </conditionalFormatting>
  <conditionalFormatting sqref="R14">
    <cfRule type="expression" priority="249" dxfId="0">
      <formula>=AND(G14&lt;('تنظیمات'!$C$5+63),H14&gt;('تنظیمات'!$C$5+56),F14&gt;0)</formula>
    </cfRule>
  </conditionalFormatting>
  <conditionalFormatting sqref="S14">
    <cfRule type="expression" priority="250" dxfId="0">
      <formula>=AND(G14&lt;('تنظیمات'!$C$5+70),H14&gt;('تنظیمات'!$C$5+63),F14&gt;0)</formula>
    </cfRule>
  </conditionalFormatting>
  <conditionalFormatting sqref="T14">
    <cfRule type="expression" priority="251" dxfId="0">
      <formula>=AND(G14&lt;('تنظیمات'!$C$5+77),H14&gt;('تنظیمات'!$C$5+70),F14&gt;0)</formula>
    </cfRule>
  </conditionalFormatting>
  <conditionalFormatting sqref="U14">
    <cfRule type="expression" priority="252" dxfId="0">
      <formula>=AND(G14&lt;('تنظیمات'!$C$5+84),H14&gt;('تنظیمات'!$C$5+77),F14&gt;0)</formula>
    </cfRule>
  </conditionalFormatting>
  <conditionalFormatting sqref="V14">
    <cfRule type="expression" priority="253" dxfId="0">
      <formula>=AND(G14&lt;('تنظیمات'!$C$5+91),H14&gt;('تنظیمات'!$C$5+84),F14&gt;0)</formula>
    </cfRule>
  </conditionalFormatting>
  <conditionalFormatting sqref="W14">
    <cfRule type="expression" priority="254" dxfId="0">
      <formula>=AND(G14&lt;('تنظیمات'!$C$5+98),H14&gt;('تنظیمات'!$C$5+91),F14&gt;0)</formula>
    </cfRule>
  </conditionalFormatting>
  <conditionalFormatting sqref="X14">
    <cfRule type="expression" priority="255" dxfId="0">
      <formula>=AND(G14&lt;('تنظیمات'!$C$5+105),H14&gt;('تنظیمات'!$C$5+98),F14&gt;0)</formula>
    </cfRule>
  </conditionalFormatting>
  <conditionalFormatting sqref="Y14">
    <cfRule type="expression" priority="256" dxfId="0">
      <formula>=AND(G14&lt;('تنظیمات'!$C$5+112),H14&gt;('تنظیمات'!$C$5+105),F14&gt;0)</formula>
    </cfRule>
  </conditionalFormatting>
  <conditionalFormatting sqref="Z14">
    <cfRule type="expression" priority="257" dxfId="0">
      <formula>=AND(G14&lt;('تنظیمات'!$C$5+119),H14&gt;('تنظیمات'!$C$5+112),F14&gt;0)</formula>
    </cfRule>
  </conditionalFormatting>
  <conditionalFormatting sqref="AA14">
    <cfRule type="expression" priority="258" dxfId="0">
      <formula>=AND(G14&lt;('تنظیمات'!$C$5+126),H14&gt;('تنظیمات'!$C$5+119),F14&gt;0)</formula>
    </cfRule>
  </conditionalFormatting>
  <conditionalFormatting sqref="AB14">
    <cfRule type="expression" priority="259" dxfId="0">
      <formula>=AND(G14&lt;('تنظیمات'!$C$5+133),H14&gt;('تنظیمات'!$C$5+126),F14&gt;0)</formula>
    </cfRule>
  </conditionalFormatting>
  <conditionalFormatting sqref="AC14">
    <cfRule type="expression" priority="260" dxfId="0">
      <formula>=AND(G14&lt;('تنظیمات'!$C$5+140),H14&gt;('تنظیمات'!$C$5+133),F14&gt;0)</formula>
    </cfRule>
  </conditionalFormatting>
  <conditionalFormatting sqref="AD14">
    <cfRule type="expression" priority="261" dxfId="0">
      <formula>=AND(G14&lt;('تنظیمات'!$C$5+147),H14&gt;('تنظیمات'!$C$5+140),F14&gt;0)</formula>
    </cfRule>
  </conditionalFormatting>
  <conditionalFormatting sqref="AE14">
    <cfRule type="expression" priority="262" dxfId="0">
      <formula>=AND(G14&lt;('تنظیمات'!$C$5+154),H14&gt;('تنظیمات'!$C$5+147),F14&gt;0)</formula>
    </cfRule>
  </conditionalFormatting>
  <conditionalFormatting sqref="AF14">
    <cfRule type="expression" priority="263" dxfId="0">
      <formula>=AND(G14&lt;('تنظیمات'!$C$5+161),H14&gt;('تنظیمات'!$C$5+154),F14&gt;0)</formula>
    </cfRule>
  </conditionalFormatting>
  <conditionalFormatting sqref="AG14">
    <cfRule type="expression" priority="264" dxfId="0">
      <formula>=AND(G14&lt;('تنظیمات'!$C$5+168),H14&gt;('تنظیمات'!$C$5+161),F14&gt;0)</formula>
    </cfRule>
  </conditionalFormatting>
  <conditionalFormatting sqref="AH14">
    <cfRule type="expression" priority="265" dxfId="0">
      <formula>=AND(G14&lt;('تنظیمات'!$C$5+175),H14&gt;('تنظیمات'!$C$5+168),F14&gt;0)</formula>
    </cfRule>
  </conditionalFormatting>
  <conditionalFormatting sqref="AI14">
    <cfRule type="expression" priority="266" dxfId="0">
      <formula>=AND(G14&lt;('تنظیمات'!$C$5+182),H14&gt;('تنظیمات'!$C$5+175),F14&gt;0)</formula>
    </cfRule>
  </conditionalFormatting>
  <conditionalFormatting sqref="AJ14">
    <cfRule type="expression" priority="267" dxfId="0">
      <formula>=AND(G14&lt;('تنظیمات'!$C$5+189),H14&gt;('تنظیمات'!$C$5+182),F14&gt;0)</formula>
    </cfRule>
  </conditionalFormatting>
  <conditionalFormatting sqref="AK14">
    <cfRule type="expression" priority="268" dxfId="0">
      <formula>=AND(G14&lt;('تنظیمات'!$C$5+196),H14&gt;('تنظیمات'!$C$5+189),F14&gt;0)</formula>
    </cfRule>
  </conditionalFormatting>
  <conditionalFormatting sqref="AL14">
    <cfRule type="expression" priority="269" dxfId="0">
      <formula>=AND(G14&lt;('تنظیمات'!$C$5+203),H14&gt;('تنظیمات'!$C$5+196),F14&gt;0)</formula>
    </cfRule>
  </conditionalFormatting>
  <conditionalFormatting sqref="AM14">
    <cfRule type="expression" priority="270" dxfId="0">
      <formula>=AND(G14&lt;('تنظیمات'!$C$5+210),H14&gt;('تنظیمات'!$C$5+203),F14&gt;0)</formula>
    </cfRule>
  </conditionalFormatting>
  <conditionalFormatting sqref="J15">
    <cfRule type="expression" priority="271" dxfId="0">
      <formula>=AND(G15&lt;('تنظیمات'!$C$5+7),H15&gt;('تنظیمات'!$C$5+0),F15&gt;0)</formula>
    </cfRule>
  </conditionalFormatting>
  <conditionalFormatting sqref="K15">
    <cfRule type="expression" priority="272" dxfId="0">
      <formula>=AND(G15&lt;('تنظیمات'!$C$5+14),H15&gt;('تنظیمات'!$C$5+7),F15&gt;0)</formula>
    </cfRule>
  </conditionalFormatting>
  <conditionalFormatting sqref="L15">
    <cfRule type="expression" priority="273" dxfId="0">
      <formula>=AND(G15&lt;('تنظیمات'!$C$5+21),H15&gt;('تنظیمات'!$C$5+14),F15&gt;0)</formula>
    </cfRule>
  </conditionalFormatting>
  <conditionalFormatting sqref="M15">
    <cfRule type="expression" priority="274" dxfId="0">
      <formula>=AND(G15&lt;('تنظیمات'!$C$5+28),H15&gt;('تنظیمات'!$C$5+21),F15&gt;0)</formula>
    </cfRule>
  </conditionalFormatting>
  <conditionalFormatting sqref="N15">
    <cfRule type="expression" priority="275" dxfId="0">
      <formula>=AND(G15&lt;('تنظیمات'!$C$5+35),H15&gt;('تنظیمات'!$C$5+28),F15&gt;0)</formula>
    </cfRule>
  </conditionalFormatting>
  <conditionalFormatting sqref="O15">
    <cfRule type="expression" priority="276" dxfId="0">
      <formula>=AND(G15&lt;('تنظیمات'!$C$5+42),H15&gt;('تنظیمات'!$C$5+35),F15&gt;0)</formula>
    </cfRule>
  </conditionalFormatting>
  <conditionalFormatting sqref="P15">
    <cfRule type="expression" priority="277" dxfId="0">
      <formula>=AND(G15&lt;('تنظیمات'!$C$5+49),H15&gt;('تنظیمات'!$C$5+42),F15&gt;0)</formula>
    </cfRule>
  </conditionalFormatting>
  <conditionalFormatting sqref="Q15">
    <cfRule type="expression" priority="278" dxfId="0">
      <formula>=AND(G15&lt;('تنظیمات'!$C$5+56),H15&gt;('تنظیمات'!$C$5+49),F15&gt;0)</formula>
    </cfRule>
  </conditionalFormatting>
  <conditionalFormatting sqref="R15">
    <cfRule type="expression" priority="279" dxfId="0">
      <formula>=AND(G15&lt;('تنظیمات'!$C$5+63),H15&gt;('تنظیمات'!$C$5+56),F15&gt;0)</formula>
    </cfRule>
  </conditionalFormatting>
  <conditionalFormatting sqref="S15">
    <cfRule type="expression" priority="280" dxfId="0">
      <formula>=AND(G15&lt;('تنظیمات'!$C$5+70),H15&gt;('تنظیمات'!$C$5+63),F15&gt;0)</formula>
    </cfRule>
  </conditionalFormatting>
  <conditionalFormatting sqref="T15">
    <cfRule type="expression" priority="281" dxfId="0">
      <formula>=AND(G15&lt;('تنظیمات'!$C$5+77),H15&gt;('تنظیمات'!$C$5+70),F15&gt;0)</formula>
    </cfRule>
  </conditionalFormatting>
  <conditionalFormatting sqref="U15">
    <cfRule type="expression" priority="282" dxfId="0">
      <formula>=AND(G15&lt;('تنظیمات'!$C$5+84),H15&gt;('تنظیمات'!$C$5+77),F15&gt;0)</formula>
    </cfRule>
  </conditionalFormatting>
  <conditionalFormatting sqref="V15">
    <cfRule type="expression" priority="283" dxfId="0">
      <formula>=AND(G15&lt;('تنظیمات'!$C$5+91),H15&gt;('تنظیمات'!$C$5+84),F15&gt;0)</formula>
    </cfRule>
  </conditionalFormatting>
  <conditionalFormatting sqref="W15">
    <cfRule type="expression" priority="284" dxfId="0">
      <formula>=AND(G15&lt;('تنظیمات'!$C$5+98),H15&gt;('تنظیمات'!$C$5+91),F15&gt;0)</formula>
    </cfRule>
  </conditionalFormatting>
  <conditionalFormatting sqref="X15">
    <cfRule type="expression" priority="285" dxfId="0">
      <formula>=AND(G15&lt;('تنظیمات'!$C$5+105),H15&gt;('تنظیمات'!$C$5+98),F15&gt;0)</formula>
    </cfRule>
  </conditionalFormatting>
  <conditionalFormatting sqref="Y15">
    <cfRule type="expression" priority="286" dxfId="0">
      <formula>=AND(G15&lt;('تنظیمات'!$C$5+112),H15&gt;('تنظیمات'!$C$5+105),F15&gt;0)</formula>
    </cfRule>
  </conditionalFormatting>
  <conditionalFormatting sqref="Z15">
    <cfRule type="expression" priority="287" dxfId="0">
      <formula>=AND(G15&lt;('تنظیمات'!$C$5+119),H15&gt;('تنظیمات'!$C$5+112),F15&gt;0)</formula>
    </cfRule>
  </conditionalFormatting>
  <conditionalFormatting sqref="AA15">
    <cfRule type="expression" priority="288" dxfId="0">
      <formula>=AND(G15&lt;('تنظیمات'!$C$5+126),H15&gt;('تنظیمات'!$C$5+119),F15&gt;0)</formula>
    </cfRule>
  </conditionalFormatting>
  <conditionalFormatting sqref="AB15">
    <cfRule type="expression" priority="289" dxfId="0">
      <formula>=AND(G15&lt;('تنظیمات'!$C$5+133),H15&gt;('تنظیمات'!$C$5+126),F15&gt;0)</formula>
    </cfRule>
  </conditionalFormatting>
  <conditionalFormatting sqref="AC15">
    <cfRule type="expression" priority="290" dxfId="0">
      <formula>=AND(G15&lt;('تنظیمات'!$C$5+140),H15&gt;('تنظیمات'!$C$5+133),F15&gt;0)</formula>
    </cfRule>
  </conditionalFormatting>
  <conditionalFormatting sqref="AD15">
    <cfRule type="expression" priority="291" dxfId="0">
      <formula>=AND(G15&lt;('تنظیمات'!$C$5+147),H15&gt;('تنظیمات'!$C$5+140),F15&gt;0)</formula>
    </cfRule>
  </conditionalFormatting>
  <conditionalFormatting sqref="AE15">
    <cfRule type="expression" priority="292" dxfId="0">
      <formula>=AND(G15&lt;('تنظیمات'!$C$5+154),H15&gt;('تنظیمات'!$C$5+147),F15&gt;0)</formula>
    </cfRule>
  </conditionalFormatting>
  <conditionalFormatting sqref="AF15">
    <cfRule type="expression" priority="293" dxfId="0">
      <formula>=AND(G15&lt;('تنظیمات'!$C$5+161),H15&gt;('تنظیمات'!$C$5+154),F15&gt;0)</formula>
    </cfRule>
  </conditionalFormatting>
  <conditionalFormatting sqref="AG15">
    <cfRule type="expression" priority="294" dxfId="0">
      <formula>=AND(G15&lt;('تنظیمات'!$C$5+168),H15&gt;('تنظیمات'!$C$5+161),F15&gt;0)</formula>
    </cfRule>
  </conditionalFormatting>
  <conditionalFormatting sqref="AH15">
    <cfRule type="expression" priority="295" dxfId="0">
      <formula>=AND(G15&lt;('تنظیمات'!$C$5+175),H15&gt;('تنظیمات'!$C$5+168),F15&gt;0)</formula>
    </cfRule>
  </conditionalFormatting>
  <conditionalFormatting sqref="AI15">
    <cfRule type="expression" priority="296" dxfId="0">
      <formula>=AND(G15&lt;('تنظیمات'!$C$5+182),H15&gt;('تنظیمات'!$C$5+175),F15&gt;0)</formula>
    </cfRule>
  </conditionalFormatting>
  <conditionalFormatting sqref="AJ15">
    <cfRule type="expression" priority="297" dxfId="0">
      <formula>=AND(G15&lt;('تنظیمات'!$C$5+189),H15&gt;('تنظیمات'!$C$5+182),F15&gt;0)</formula>
    </cfRule>
  </conditionalFormatting>
  <conditionalFormatting sqref="AK15">
    <cfRule type="expression" priority="298" dxfId="0">
      <formula>=AND(G15&lt;('تنظیمات'!$C$5+196),H15&gt;('تنظیمات'!$C$5+189),F15&gt;0)</formula>
    </cfRule>
  </conditionalFormatting>
  <conditionalFormatting sqref="AL15">
    <cfRule type="expression" priority="299" dxfId="0">
      <formula>=AND(G15&lt;('تنظیمات'!$C$5+203),H15&gt;('تنظیمات'!$C$5+196),F15&gt;0)</formula>
    </cfRule>
  </conditionalFormatting>
  <conditionalFormatting sqref="AM15">
    <cfRule type="expression" priority="300" dxfId="0">
      <formula>=AND(G15&lt;('تنظیمات'!$C$5+210),H15&gt;('تنظیمات'!$C$5+203),F15&gt;0)</formula>
    </cfRule>
  </conditionalFormatting>
  <conditionalFormatting sqref="J16">
    <cfRule type="expression" priority="301" dxfId="0">
      <formula>=AND(G16&lt;('تنظیمات'!$C$5+7),H16&gt;('تنظیمات'!$C$5+0),F16&gt;0)</formula>
    </cfRule>
  </conditionalFormatting>
  <conditionalFormatting sqref="K16">
    <cfRule type="expression" priority="302" dxfId="0">
      <formula>=AND(G16&lt;('تنظیمات'!$C$5+14),H16&gt;('تنظیمات'!$C$5+7),F16&gt;0)</formula>
    </cfRule>
  </conditionalFormatting>
  <conditionalFormatting sqref="L16">
    <cfRule type="expression" priority="303" dxfId="0">
      <formula>=AND(G16&lt;('تنظیمات'!$C$5+21),H16&gt;('تنظیمات'!$C$5+14),F16&gt;0)</formula>
    </cfRule>
  </conditionalFormatting>
  <conditionalFormatting sqref="M16">
    <cfRule type="expression" priority="304" dxfId="0">
      <formula>=AND(G16&lt;('تنظیمات'!$C$5+28),H16&gt;('تنظیمات'!$C$5+21),F16&gt;0)</formula>
    </cfRule>
  </conditionalFormatting>
  <conditionalFormatting sqref="N16">
    <cfRule type="expression" priority="305" dxfId="0">
      <formula>=AND(G16&lt;('تنظیمات'!$C$5+35),H16&gt;('تنظیمات'!$C$5+28),F16&gt;0)</formula>
    </cfRule>
  </conditionalFormatting>
  <conditionalFormatting sqref="O16">
    <cfRule type="expression" priority="306" dxfId="0">
      <formula>=AND(G16&lt;('تنظیمات'!$C$5+42),H16&gt;('تنظیمات'!$C$5+35),F16&gt;0)</formula>
    </cfRule>
  </conditionalFormatting>
  <conditionalFormatting sqref="P16">
    <cfRule type="expression" priority="307" dxfId="0">
      <formula>=AND(G16&lt;('تنظیمات'!$C$5+49),H16&gt;('تنظیمات'!$C$5+42),F16&gt;0)</formula>
    </cfRule>
  </conditionalFormatting>
  <conditionalFormatting sqref="Q16">
    <cfRule type="expression" priority="308" dxfId="0">
      <formula>=AND(G16&lt;('تنظیمات'!$C$5+56),H16&gt;('تنظیمات'!$C$5+49),F16&gt;0)</formula>
    </cfRule>
  </conditionalFormatting>
  <conditionalFormatting sqref="R16">
    <cfRule type="expression" priority="309" dxfId="0">
      <formula>=AND(G16&lt;('تنظیمات'!$C$5+63),H16&gt;('تنظیمات'!$C$5+56),F16&gt;0)</formula>
    </cfRule>
  </conditionalFormatting>
  <conditionalFormatting sqref="S16">
    <cfRule type="expression" priority="310" dxfId="0">
      <formula>=AND(G16&lt;('تنظیمات'!$C$5+70),H16&gt;('تنظیمات'!$C$5+63),F16&gt;0)</formula>
    </cfRule>
  </conditionalFormatting>
  <conditionalFormatting sqref="T16">
    <cfRule type="expression" priority="311" dxfId="0">
      <formula>=AND(G16&lt;('تنظیمات'!$C$5+77),H16&gt;('تنظیمات'!$C$5+70),F16&gt;0)</formula>
    </cfRule>
  </conditionalFormatting>
  <conditionalFormatting sqref="U16">
    <cfRule type="expression" priority="312" dxfId="0">
      <formula>=AND(G16&lt;('تنظیمات'!$C$5+84),H16&gt;('تنظیمات'!$C$5+77),F16&gt;0)</formula>
    </cfRule>
  </conditionalFormatting>
  <conditionalFormatting sqref="V16">
    <cfRule type="expression" priority="313" dxfId="0">
      <formula>=AND(G16&lt;('تنظیمات'!$C$5+91),H16&gt;('تنظیمات'!$C$5+84),F16&gt;0)</formula>
    </cfRule>
  </conditionalFormatting>
  <conditionalFormatting sqref="W16">
    <cfRule type="expression" priority="314" dxfId="0">
      <formula>=AND(G16&lt;('تنظیمات'!$C$5+98),H16&gt;('تنظیمات'!$C$5+91),F16&gt;0)</formula>
    </cfRule>
  </conditionalFormatting>
  <conditionalFormatting sqref="X16">
    <cfRule type="expression" priority="315" dxfId="0">
      <formula>=AND(G16&lt;('تنظیمات'!$C$5+105),H16&gt;('تنظیمات'!$C$5+98),F16&gt;0)</formula>
    </cfRule>
  </conditionalFormatting>
  <conditionalFormatting sqref="Y16">
    <cfRule type="expression" priority="316" dxfId="0">
      <formula>=AND(G16&lt;('تنظیمات'!$C$5+112),H16&gt;('تنظیمات'!$C$5+105),F16&gt;0)</formula>
    </cfRule>
  </conditionalFormatting>
  <conditionalFormatting sqref="Z16">
    <cfRule type="expression" priority="317" dxfId="0">
      <formula>=AND(G16&lt;('تنظیمات'!$C$5+119),H16&gt;('تنظیمات'!$C$5+112),F16&gt;0)</formula>
    </cfRule>
  </conditionalFormatting>
  <conditionalFormatting sqref="AA16">
    <cfRule type="expression" priority="318" dxfId="0">
      <formula>=AND(G16&lt;('تنظیمات'!$C$5+126),H16&gt;('تنظیمات'!$C$5+119),F16&gt;0)</formula>
    </cfRule>
  </conditionalFormatting>
  <conditionalFormatting sqref="AB16">
    <cfRule type="expression" priority="319" dxfId="0">
      <formula>=AND(G16&lt;('تنظیمات'!$C$5+133),H16&gt;('تنظیمات'!$C$5+126),F16&gt;0)</formula>
    </cfRule>
  </conditionalFormatting>
  <conditionalFormatting sqref="AC16">
    <cfRule type="expression" priority="320" dxfId="0">
      <formula>=AND(G16&lt;('تنظیمات'!$C$5+140),H16&gt;('تنظیمات'!$C$5+133),F16&gt;0)</formula>
    </cfRule>
  </conditionalFormatting>
  <conditionalFormatting sqref="AD16">
    <cfRule type="expression" priority="321" dxfId="0">
      <formula>=AND(G16&lt;('تنظیمات'!$C$5+147),H16&gt;('تنظیمات'!$C$5+140),F16&gt;0)</formula>
    </cfRule>
  </conditionalFormatting>
  <conditionalFormatting sqref="AE16">
    <cfRule type="expression" priority="322" dxfId="0">
      <formula>=AND(G16&lt;('تنظیمات'!$C$5+154),H16&gt;('تنظیمات'!$C$5+147),F16&gt;0)</formula>
    </cfRule>
  </conditionalFormatting>
  <conditionalFormatting sqref="AF16">
    <cfRule type="expression" priority="323" dxfId="0">
      <formula>=AND(G16&lt;('تنظیمات'!$C$5+161),H16&gt;('تنظیمات'!$C$5+154),F16&gt;0)</formula>
    </cfRule>
  </conditionalFormatting>
  <conditionalFormatting sqref="AG16">
    <cfRule type="expression" priority="324" dxfId="0">
      <formula>=AND(G16&lt;('تنظیمات'!$C$5+168),H16&gt;('تنظیمات'!$C$5+161),F16&gt;0)</formula>
    </cfRule>
  </conditionalFormatting>
  <conditionalFormatting sqref="AH16">
    <cfRule type="expression" priority="325" dxfId="0">
      <formula>=AND(G16&lt;('تنظیمات'!$C$5+175),H16&gt;('تنظیمات'!$C$5+168),F16&gt;0)</formula>
    </cfRule>
  </conditionalFormatting>
  <conditionalFormatting sqref="AI16">
    <cfRule type="expression" priority="326" dxfId="0">
      <formula>=AND(G16&lt;('تنظیمات'!$C$5+182),H16&gt;('تنظیمات'!$C$5+175),F16&gt;0)</formula>
    </cfRule>
  </conditionalFormatting>
  <conditionalFormatting sqref="AJ16">
    <cfRule type="expression" priority="327" dxfId="0">
      <formula>=AND(G16&lt;('تنظیمات'!$C$5+189),H16&gt;('تنظیمات'!$C$5+182),F16&gt;0)</formula>
    </cfRule>
  </conditionalFormatting>
  <conditionalFormatting sqref="AK16">
    <cfRule type="expression" priority="328" dxfId="0">
      <formula>=AND(G16&lt;('تنظیمات'!$C$5+196),H16&gt;('تنظیمات'!$C$5+189),F16&gt;0)</formula>
    </cfRule>
  </conditionalFormatting>
  <conditionalFormatting sqref="AL16">
    <cfRule type="expression" priority="329" dxfId="0">
      <formula>=AND(G16&lt;('تنظیمات'!$C$5+203),H16&gt;('تنظیمات'!$C$5+196),F16&gt;0)</formula>
    </cfRule>
  </conditionalFormatting>
  <conditionalFormatting sqref="AM16">
    <cfRule type="expression" priority="330" dxfId="0">
      <formula>=AND(G16&lt;('تنظیمات'!$C$5+210),H16&gt;('تنظیمات'!$C$5+203),F16&gt;0)</formula>
    </cfRule>
  </conditionalFormatting>
  <conditionalFormatting sqref="J17">
    <cfRule type="expression" priority="331" dxfId="0">
      <formula>=AND(G17&lt;('تنظیمات'!$C$5+7),H17&gt;('تنظیمات'!$C$5+0),F17&gt;0)</formula>
    </cfRule>
  </conditionalFormatting>
  <conditionalFormatting sqref="K17">
    <cfRule type="expression" priority="332" dxfId="0">
      <formula>=AND(G17&lt;('تنظیمات'!$C$5+14),H17&gt;('تنظیمات'!$C$5+7),F17&gt;0)</formula>
    </cfRule>
  </conditionalFormatting>
  <conditionalFormatting sqref="L17">
    <cfRule type="expression" priority="333" dxfId="0">
      <formula>=AND(G17&lt;('تنظیمات'!$C$5+21),H17&gt;('تنظیمات'!$C$5+14),F17&gt;0)</formula>
    </cfRule>
  </conditionalFormatting>
  <conditionalFormatting sqref="M17">
    <cfRule type="expression" priority="334" dxfId="0">
      <formula>=AND(G17&lt;('تنظیمات'!$C$5+28),H17&gt;('تنظیمات'!$C$5+21),F17&gt;0)</formula>
    </cfRule>
  </conditionalFormatting>
  <conditionalFormatting sqref="N17">
    <cfRule type="expression" priority="335" dxfId="0">
      <formula>=AND(G17&lt;('تنظیمات'!$C$5+35),H17&gt;('تنظیمات'!$C$5+28),F17&gt;0)</formula>
    </cfRule>
  </conditionalFormatting>
  <conditionalFormatting sqref="O17">
    <cfRule type="expression" priority="336" dxfId="0">
      <formula>=AND(G17&lt;('تنظیمات'!$C$5+42),H17&gt;('تنظیمات'!$C$5+35),F17&gt;0)</formula>
    </cfRule>
  </conditionalFormatting>
  <conditionalFormatting sqref="P17">
    <cfRule type="expression" priority="337" dxfId="0">
      <formula>=AND(G17&lt;('تنظیمات'!$C$5+49),H17&gt;('تنظیمات'!$C$5+42),F17&gt;0)</formula>
    </cfRule>
  </conditionalFormatting>
  <conditionalFormatting sqref="Q17">
    <cfRule type="expression" priority="338" dxfId="0">
      <formula>=AND(G17&lt;('تنظیمات'!$C$5+56),H17&gt;('تنظیمات'!$C$5+49),F17&gt;0)</formula>
    </cfRule>
  </conditionalFormatting>
  <conditionalFormatting sqref="R17">
    <cfRule type="expression" priority="339" dxfId="0">
      <formula>=AND(G17&lt;('تنظیمات'!$C$5+63),H17&gt;('تنظیمات'!$C$5+56),F17&gt;0)</formula>
    </cfRule>
  </conditionalFormatting>
  <conditionalFormatting sqref="S17">
    <cfRule type="expression" priority="340" dxfId="0">
      <formula>=AND(G17&lt;('تنظیمات'!$C$5+70),H17&gt;('تنظیمات'!$C$5+63),F17&gt;0)</formula>
    </cfRule>
  </conditionalFormatting>
  <conditionalFormatting sqref="T17">
    <cfRule type="expression" priority="341" dxfId="0">
      <formula>=AND(G17&lt;('تنظیمات'!$C$5+77),H17&gt;('تنظیمات'!$C$5+70),F17&gt;0)</formula>
    </cfRule>
  </conditionalFormatting>
  <conditionalFormatting sqref="U17">
    <cfRule type="expression" priority="342" dxfId="0">
      <formula>=AND(G17&lt;('تنظیمات'!$C$5+84),H17&gt;('تنظیمات'!$C$5+77),F17&gt;0)</formula>
    </cfRule>
  </conditionalFormatting>
  <conditionalFormatting sqref="V17">
    <cfRule type="expression" priority="343" dxfId="0">
      <formula>=AND(G17&lt;('تنظیمات'!$C$5+91),H17&gt;('تنظیمات'!$C$5+84),F17&gt;0)</formula>
    </cfRule>
  </conditionalFormatting>
  <conditionalFormatting sqref="W17">
    <cfRule type="expression" priority="344" dxfId="0">
      <formula>=AND(G17&lt;('تنظیمات'!$C$5+98),H17&gt;('تنظیمات'!$C$5+91),F17&gt;0)</formula>
    </cfRule>
  </conditionalFormatting>
  <conditionalFormatting sqref="X17">
    <cfRule type="expression" priority="345" dxfId="0">
      <formula>=AND(G17&lt;('تنظیمات'!$C$5+105),H17&gt;('تنظیمات'!$C$5+98),F17&gt;0)</formula>
    </cfRule>
  </conditionalFormatting>
  <conditionalFormatting sqref="Y17">
    <cfRule type="expression" priority="346" dxfId="0">
      <formula>=AND(G17&lt;('تنظیمات'!$C$5+112),H17&gt;('تنظیمات'!$C$5+105),F17&gt;0)</formula>
    </cfRule>
  </conditionalFormatting>
  <conditionalFormatting sqref="Z17">
    <cfRule type="expression" priority="347" dxfId="0">
      <formula>=AND(G17&lt;('تنظیمات'!$C$5+119),H17&gt;('تنظیمات'!$C$5+112),F17&gt;0)</formula>
    </cfRule>
  </conditionalFormatting>
  <conditionalFormatting sqref="AA17">
    <cfRule type="expression" priority="348" dxfId="0">
      <formula>=AND(G17&lt;('تنظیمات'!$C$5+126),H17&gt;('تنظیمات'!$C$5+119),F17&gt;0)</formula>
    </cfRule>
  </conditionalFormatting>
  <conditionalFormatting sqref="AB17">
    <cfRule type="expression" priority="349" dxfId="0">
      <formula>=AND(G17&lt;('تنظیمات'!$C$5+133),H17&gt;('تنظیمات'!$C$5+126),F17&gt;0)</formula>
    </cfRule>
  </conditionalFormatting>
  <conditionalFormatting sqref="AC17">
    <cfRule type="expression" priority="350" dxfId="0">
      <formula>=AND(G17&lt;('تنظیمات'!$C$5+140),H17&gt;('تنظیمات'!$C$5+133),F17&gt;0)</formula>
    </cfRule>
  </conditionalFormatting>
  <conditionalFormatting sqref="AD17">
    <cfRule type="expression" priority="351" dxfId="0">
      <formula>=AND(G17&lt;('تنظیمات'!$C$5+147),H17&gt;('تنظیمات'!$C$5+140),F17&gt;0)</formula>
    </cfRule>
  </conditionalFormatting>
  <conditionalFormatting sqref="AE17">
    <cfRule type="expression" priority="352" dxfId="0">
      <formula>=AND(G17&lt;('تنظیمات'!$C$5+154),H17&gt;('تنظیمات'!$C$5+147),F17&gt;0)</formula>
    </cfRule>
  </conditionalFormatting>
  <conditionalFormatting sqref="AF17">
    <cfRule type="expression" priority="353" dxfId="0">
      <formula>=AND(G17&lt;('تنظیمات'!$C$5+161),H17&gt;('تنظیمات'!$C$5+154),F17&gt;0)</formula>
    </cfRule>
  </conditionalFormatting>
  <conditionalFormatting sqref="AG17">
    <cfRule type="expression" priority="354" dxfId="0">
      <formula>=AND(G17&lt;('تنظیمات'!$C$5+168),H17&gt;('تنظیمات'!$C$5+161),F17&gt;0)</formula>
    </cfRule>
  </conditionalFormatting>
  <conditionalFormatting sqref="AH17">
    <cfRule type="expression" priority="355" dxfId="0">
      <formula>=AND(G17&lt;('تنظیمات'!$C$5+175),H17&gt;('تنظیمات'!$C$5+168),F17&gt;0)</formula>
    </cfRule>
  </conditionalFormatting>
  <conditionalFormatting sqref="AI17">
    <cfRule type="expression" priority="356" dxfId="0">
      <formula>=AND(G17&lt;('تنظیمات'!$C$5+182),H17&gt;('تنظیمات'!$C$5+175),F17&gt;0)</formula>
    </cfRule>
  </conditionalFormatting>
  <conditionalFormatting sqref="AJ17">
    <cfRule type="expression" priority="357" dxfId="0">
      <formula>=AND(G17&lt;('تنظیمات'!$C$5+189),H17&gt;('تنظیمات'!$C$5+182),F17&gt;0)</formula>
    </cfRule>
  </conditionalFormatting>
  <conditionalFormatting sqref="AK17">
    <cfRule type="expression" priority="358" dxfId="0">
      <formula>=AND(G17&lt;('تنظیمات'!$C$5+196),H17&gt;('تنظیمات'!$C$5+189),F17&gt;0)</formula>
    </cfRule>
  </conditionalFormatting>
  <conditionalFormatting sqref="AL17">
    <cfRule type="expression" priority="359" dxfId="0">
      <formula>=AND(G17&lt;('تنظیمات'!$C$5+203),H17&gt;('تنظیمات'!$C$5+196),F17&gt;0)</formula>
    </cfRule>
  </conditionalFormatting>
  <conditionalFormatting sqref="AM17">
    <cfRule type="expression" priority="360" dxfId="0">
      <formula>=AND(G17&lt;('تنظیمات'!$C$5+210),H17&gt;('تنظیمات'!$C$5+203),F17&gt;0)</formula>
    </cfRule>
  </conditionalFormatting>
  <conditionalFormatting sqref="J18">
    <cfRule type="expression" priority="361" dxfId="0">
      <formula>=AND(G18&lt;('تنظیمات'!$C$5+7),H18&gt;('تنظیمات'!$C$5+0),F18&gt;0)</formula>
    </cfRule>
  </conditionalFormatting>
  <conditionalFormatting sqref="K18">
    <cfRule type="expression" priority="362" dxfId="0">
      <formula>=AND(G18&lt;('تنظیمات'!$C$5+14),H18&gt;('تنظیمات'!$C$5+7),F18&gt;0)</formula>
    </cfRule>
  </conditionalFormatting>
  <conditionalFormatting sqref="L18">
    <cfRule type="expression" priority="363" dxfId="0">
      <formula>=AND(G18&lt;('تنظیمات'!$C$5+21),H18&gt;('تنظیمات'!$C$5+14),F18&gt;0)</formula>
    </cfRule>
  </conditionalFormatting>
  <conditionalFormatting sqref="M18">
    <cfRule type="expression" priority="364" dxfId="0">
      <formula>=AND(G18&lt;('تنظیمات'!$C$5+28),H18&gt;('تنظیمات'!$C$5+21),F18&gt;0)</formula>
    </cfRule>
  </conditionalFormatting>
  <conditionalFormatting sqref="N18">
    <cfRule type="expression" priority="365" dxfId="0">
      <formula>=AND(G18&lt;('تنظیمات'!$C$5+35),H18&gt;('تنظیمات'!$C$5+28),F18&gt;0)</formula>
    </cfRule>
  </conditionalFormatting>
  <conditionalFormatting sqref="O18">
    <cfRule type="expression" priority="366" dxfId="0">
      <formula>=AND(G18&lt;('تنظیمات'!$C$5+42),H18&gt;('تنظیمات'!$C$5+35),F18&gt;0)</formula>
    </cfRule>
  </conditionalFormatting>
  <conditionalFormatting sqref="P18">
    <cfRule type="expression" priority="367" dxfId="0">
      <formula>=AND(G18&lt;('تنظیمات'!$C$5+49),H18&gt;('تنظیمات'!$C$5+42),F18&gt;0)</formula>
    </cfRule>
  </conditionalFormatting>
  <conditionalFormatting sqref="Q18">
    <cfRule type="expression" priority="368" dxfId="0">
      <formula>=AND(G18&lt;('تنظیمات'!$C$5+56),H18&gt;('تنظیمات'!$C$5+49),F18&gt;0)</formula>
    </cfRule>
  </conditionalFormatting>
  <conditionalFormatting sqref="R18">
    <cfRule type="expression" priority="369" dxfId="0">
      <formula>=AND(G18&lt;('تنظیمات'!$C$5+63),H18&gt;('تنظیمات'!$C$5+56),F18&gt;0)</formula>
    </cfRule>
  </conditionalFormatting>
  <conditionalFormatting sqref="S18">
    <cfRule type="expression" priority="370" dxfId="0">
      <formula>=AND(G18&lt;('تنظیمات'!$C$5+70),H18&gt;('تنظیمات'!$C$5+63),F18&gt;0)</formula>
    </cfRule>
  </conditionalFormatting>
  <conditionalFormatting sqref="T18">
    <cfRule type="expression" priority="371" dxfId="0">
      <formula>=AND(G18&lt;('تنظیمات'!$C$5+77),H18&gt;('تنظیمات'!$C$5+70),F18&gt;0)</formula>
    </cfRule>
  </conditionalFormatting>
  <conditionalFormatting sqref="U18">
    <cfRule type="expression" priority="372" dxfId="0">
      <formula>=AND(G18&lt;('تنظیمات'!$C$5+84),H18&gt;('تنظیمات'!$C$5+77),F18&gt;0)</formula>
    </cfRule>
  </conditionalFormatting>
  <conditionalFormatting sqref="V18">
    <cfRule type="expression" priority="373" dxfId="0">
      <formula>=AND(G18&lt;('تنظیمات'!$C$5+91),H18&gt;('تنظیمات'!$C$5+84),F18&gt;0)</formula>
    </cfRule>
  </conditionalFormatting>
  <conditionalFormatting sqref="W18">
    <cfRule type="expression" priority="374" dxfId="0">
      <formula>=AND(G18&lt;('تنظیمات'!$C$5+98),H18&gt;('تنظیمات'!$C$5+91),F18&gt;0)</formula>
    </cfRule>
  </conditionalFormatting>
  <conditionalFormatting sqref="X18">
    <cfRule type="expression" priority="375" dxfId="0">
      <formula>=AND(G18&lt;('تنظیمات'!$C$5+105),H18&gt;('تنظیمات'!$C$5+98),F18&gt;0)</formula>
    </cfRule>
  </conditionalFormatting>
  <conditionalFormatting sqref="Y18">
    <cfRule type="expression" priority="376" dxfId="0">
      <formula>=AND(G18&lt;('تنظیمات'!$C$5+112),H18&gt;('تنظیمات'!$C$5+105),F18&gt;0)</formula>
    </cfRule>
  </conditionalFormatting>
  <conditionalFormatting sqref="Z18">
    <cfRule type="expression" priority="377" dxfId="0">
      <formula>=AND(G18&lt;('تنظیمات'!$C$5+119),H18&gt;('تنظیمات'!$C$5+112),F18&gt;0)</formula>
    </cfRule>
  </conditionalFormatting>
  <conditionalFormatting sqref="AA18">
    <cfRule type="expression" priority="378" dxfId="0">
      <formula>=AND(G18&lt;('تنظیمات'!$C$5+126),H18&gt;('تنظیمات'!$C$5+119),F18&gt;0)</formula>
    </cfRule>
  </conditionalFormatting>
  <conditionalFormatting sqref="AB18">
    <cfRule type="expression" priority="379" dxfId="0">
      <formula>=AND(G18&lt;('تنظیمات'!$C$5+133),H18&gt;('تنظیمات'!$C$5+126),F18&gt;0)</formula>
    </cfRule>
  </conditionalFormatting>
  <conditionalFormatting sqref="AC18">
    <cfRule type="expression" priority="380" dxfId="0">
      <formula>=AND(G18&lt;('تنظیمات'!$C$5+140),H18&gt;('تنظیمات'!$C$5+133),F18&gt;0)</formula>
    </cfRule>
  </conditionalFormatting>
  <conditionalFormatting sqref="AD18">
    <cfRule type="expression" priority="381" dxfId="0">
      <formula>=AND(G18&lt;('تنظیمات'!$C$5+147),H18&gt;('تنظیمات'!$C$5+140),F18&gt;0)</formula>
    </cfRule>
  </conditionalFormatting>
  <conditionalFormatting sqref="AE18">
    <cfRule type="expression" priority="382" dxfId="0">
      <formula>=AND(G18&lt;('تنظیمات'!$C$5+154),H18&gt;('تنظیمات'!$C$5+147),F18&gt;0)</formula>
    </cfRule>
  </conditionalFormatting>
  <conditionalFormatting sqref="AF18">
    <cfRule type="expression" priority="383" dxfId="0">
      <formula>=AND(G18&lt;('تنظیمات'!$C$5+161),H18&gt;('تنظیمات'!$C$5+154),F18&gt;0)</formula>
    </cfRule>
  </conditionalFormatting>
  <conditionalFormatting sqref="AG18">
    <cfRule type="expression" priority="384" dxfId="0">
      <formula>=AND(G18&lt;('تنظیمات'!$C$5+168),H18&gt;('تنظیمات'!$C$5+161),F18&gt;0)</formula>
    </cfRule>
  </conditionalFormatting>
  <conditionalFormatting sqref="AH18">
    <cfRule type="expression" priority="385" dxfId="0">
      <formula>=AND(G18&lt;('تنظیمات'!$C$5+175),H18&gt;('تنظیمات'!$C$5+168),F18&gt;0)</formula>
    </cfRule>
  </conditionalFormatting>
  <conditionalFormatting sqref="AI18">
    <cfRule type="expression" priority="386" dxfId="0">
      <formula>=AND(G18&lt;('تنظیمات'!$C$5+182),H18&gt;('تنظیمات'!$C$5+175),F18&gt;0)</formula>
    </cfRule>
  </conditionalFormatting>
  <conditionalFormatting sqref="AJ18">
    <cfRule type="expression" priority="387" dxfId="0">
      <formula>=AND(G18&lt;('تنظیمات'!$C$5+189),H18&gt;('تنظیمات'!$C$5+182),F18&gt;0)</formula>
    </cfRule>
  </conditionalFormatting>
  <conditionalFormatting sqref="AK18">
    <cfRule type="expression" priority="388" dxfId="0">
      <formula>=AND(G18&lt;('تنظیمات'!$C$5+196),H18&gt;('تنظیمات'!$C$5+189),F18&gt;0)</formula>
    </cfRule>
  </conditionalFormatting>
  <conditionalFormatting sqref="AL18">
    <cfRule type="expression" priority="389" dxfId="0">
      <formula>=AND(G18&lt;('تنظیمات'!$C$5+203),H18&gt;('تنظیمات'!$C$5+196),F18&gt;0)</formula>
    </cfRule>
  </conditionalFormatting>
  <conditionalFormatting sqref="AM18">
    <cfRule type="expression" priority="390" dxfId="0">
      <formula>=AND(G18&lt;('تنظیمات'!$C$5+210),H18&gt;('تنظیمات'!$C$5+203),F18&gt;0)</formula>
    </cfRule>
  </conditionalFormatting>
  <conditionalFormatting sqref="J19">
    <cfRule type="expression" priority="391" dxfId="0">
      <formula>=AND(G19&lt;('تنظیمات'!$C$5+7),H19&gt;('تنظیمات'!$C$5+0),F19&gt;0)</formula>
    </cfRule>
  </conditionalFormatting>
  <conditionalFormatting sqref="K19">
    <cfRule type="expression" priority="392" dxfId="0">
      <formula>=AND(G19&lt;('تنظیمات'!$C$5+14),H19&gt;('تنظیمات'!$C$5+7),F19&gt;0)</formula>
    </cfRule>
  </conditionalFormatting>
  <conditionalFormatting sqref="L19">
    <cfRule type="expression" priority="393" dxfId="0">
      <formula>=AND(G19&lt;('تنظیمات'!$C$5+21),H19&gt;('تنظیمات'!$C$5+14),F19&gt;0)</formula>
    </cfRule>
  </conditionalFormatting>
  <conditionalFormatting sqref="M19">
    <cfRule type="expression" priority="394" dxfId="0">
      <formula>=AND(G19&lt;('تنظیمات'!$C$5+28),H19&gt;('تنظیمات'!$C$5+21),F19&gt;0)</formula>
    </cfRule>
  </conditionalFormatting>
  <conditionalFormatting sqref="N19">
    <cfRule type="expression" priority="395" dxfId="0">
      <formula>=AND(G19&lt;('تنظیمات'!$C$5+35),H19&gt;('تنظیمات'!$C$5+28),F19&gt;0)</formula>
    </cfRule>
  </conditionalFormatting>
  <conditionalFormatting sqref="O19">
    <cfRule type="expression" priority="396" dxfId="0">
      <formula>=AND(G19&lt;('تنظیمات'!$C$5+42),H19&gt;('تنظیمات'!$C$5+35),F19&gt;0)</formula>
    </cfRule>
  </conditionalFormatting>
  <conditionalFormatting sqref="P19">
    <cfRule type="expression" priority="397" dxfId="0">
      <formula>=AND(G19&lt;('تنظیمات'!$C$5+49),H19&gt;('تنظیمات'!$C$5+42),F19&gt;0)</formula>
    </cfRule>
  </conditionalFormatting>
  <conditionalFormatting sqref="Q19">
    <cfRule type="expression" priority="398" dxfId="0">
      <formula>=AND(G19&lt;('تنظیمات'!$C$5+56),H19&gt;('تنظیمات'!$C$5+49),F19&gt;0)</formula>
    </cfRule>
  </conditionalFormatting>
  <conditionalFormatting sqref="R19">
    <cfRule type="expression" priority="399" dxfId="0">
      <formula>=AND(G19&lt;('تنظیمات'!$C$5+63),H19&gt;('تنظیمات'!$C$5+56),F19&gt;0)</formula>
    </cfRule>
  </conditionalFormatting>
  <conditionalFormatting sqref="S19">
    <cfRule type="expression" priority="400" dxfId="0">
      <formula>=AND(G19&lt;('تنظیمات'!$C$5+70),H19&gt;('تنظیمات'!$C$5+63),F19&gt;0)</formula>
    </cfRule>
  </conditionalFormatting>
  <conditionalFormatting sqref="T19">
    <cfRule type="expression" priority="401" dxfId="0">
      <formula>=AND(G19&lt;('تنظیمات'!$C$5+77),H19&gt;('تنظیمات'!$C$5+70),F19&gt;0)</formula>
    </cfRule>
  </conditionalFormatting>
  <conditionalFormatting sqref="U19">
    <cfRule type="expression" priority="402" dxfId="0">
      <formula>=AND(G19&lt;('تنظیمات'!$C$5+84),H19&gt;('تنظیمات'!$C$5+77),F19&gt;0)</formula>
    </cfRule>
  </conditionalFormatting>
  <conditionalFormatting sqref="V19">
    <cfRule type="expression" priority="403" dxfId="0">
      <formula>=AND(G19&lt;('تنظیمات'!$C$5+91),H19&gt;('تنظیمات'!$C$5+84),F19&gt;0)</formula>
    </cfRule>
  </conditionalFormatting>
  <conditionalFormatting sqref="W19">
    <cfRule type="expression" priority="404" dxfId="0">
      <formula>=AND(G19&lt;('تنظیمات'!$C$5+98),H19&gt;('تنظیمات'!$C$5+91),F19&gt;0)</formula>
    </cfRule>
  </conditionalFormatting>
  <conditionalFormatting sqref="X19">
    <cfRule type="expression" priority="405" dxfId="0">
      <formula>=AND(G19&lt;('تنظیمات'!$C$5+105),H19&gt;('تنظیمات'!$C$5+98),F19&gt;0)</formula>
    </cfRule>
  </conditionalFormatting>
  <conditionalFormatting sqref="Y19">
    <cfRule type="expression" priority="406" dxfId="0">
      <formula>=AND(G19&lt;('تنظیمات'!$C$5+112),H19&gt;('تنظیمات'!$C$5+105),F19&gt;0)</formula>
    </cfRule>
  </conditionalFormatting>
  <conditionalFormatting sqref="Z19">
    <cfRule type="expression" priority="407" dxfId="0">
      <formula>=AND(G19&lt;('تنظیمات'!$C$5+119),H19&gt;('تنظیمات'!$C$5+112),F19&gt;0)</formula>
    </cfRule>
  </conditionalFormatting>
  <conditionalFormatting sqref="AA19">
    <cfRule type="expression" priority="408" dxfId="0">
      <formula>=AND(G19&lt;('تنظیمات'!$C$5+126),H19&gt;('تنظیمات'!$C$5+119),F19&gt;0)</formula>
    </cfRule>
  </conditionalFormatting>
  <conditionalFormatting sqref="AB19">
    <cfRule type="expression" priority="409" dxfId="0">
      <formula>=AND(G19&lt;('تنظیمات'!$C$5+133),H19&gt;('تنظیمات'!$C$5+126),F19&gt;0)</formula>
    </cfRule>
  </conditionalFormatting>
  <conditionalFormatting sqref="AC19">
    <cfRule type="expression" priority="410" dxfId="0">
      <formula>=AND(G19&lt;('تنظیمات'!$C$5+140),H19&gt;('تنظیمات'!$C$5+133),F19&gt;0)</formula>
    </cfRule>
  </conditionalFormatting>
  <conditionalFormatting sqref="AD19">
    <cfRule type="expression" priority="411" dxfId="0">
      <formula>=AND(G19&lt;('تنظیمات'!$C$5+147),H19&gt;('تنظیمات'!$C$5+140),F19&gt;0)</formula>
    </cfRule>
  </conditionalFormatting>
  <conditionalFormatting sqref="AE19">
    <cfRule type="expression" priority="412" dxfId="0">
      <formula>=AND(G19&lt;('تنظیمات'!$C$5+154),H19&gt;('تنظیمات'!$C$5+147),F19&gt;0)</formula>
    </cfRule>
  </conditionalFormatting>
  <conditionalFormatting sqref="AF19">
    <cfRule type="expression" priority="413" dxfId="0">
      <formula>=AND(G19&lt;('تنظیمات'!$C$5+161),H19&gt;('تنظیمات'!$C$5+154),F19&gt;0)</formula>
    </cfRule>
  </conditionalFormatting>
  <conditionalFormatting sqref="AG19">
    <cfRule type="expression" priority="414" dxfId="0">
      <formula>=AND(G19&lt;('تنظیمات'!$C$5+168),H19&gt;('تنظیمات'!$C$5+161),F19&gt;0)</formula>
    </cfRule>
  </conditionalFormatting>
  <conditionalFormatting sqref="AH19">
    <cfRule type="expression" priority="415" dxfId="0">
      <formula>=AND(G19&lt;('تنظیمات'!$C$5+175),H19&gt;('تنظیمات'!$C$5+168),F19&gt;0)</formula>
    </cfRule>
  </conditionalFormatting>
  <conditionalFormatting sqref="AI19">
    <cfRule type="expression" priority="416" dxfId="0">
      <formula>=AND(G19&lt;('تنظیمات'!$C$5+182),H19&gt;('تنظیمات'!$C$5+175),F19&gt;0)</formula>
    </cfRule>
  </conditionalFormatting>
  <conditionalFormatting sqref="AJ19">
    <cfRule type="expression" priority="417" dxfId="0">
      <formula>=AND(G19&lt;('تنظیمات'!$C$5+189),H19&gt;('تنظیمات'!$C$5+182),F19&gt;0)</formula>
    </cfRule>
  </conditionalFormatting>
  <conditionalFormatting sqref="AK19">
    <cfRule type="expression" priority="418" dxfId="0">
      <formula>=AND(G19&lt;('تنظیمات'!$C$5+196),H19&gt;('تنظیمات'!$C$5+189),F19&gt;0)</formula>
    </cfRule>
  </conditionalFormatting>
  <conditionalFormatting sqref="AL19">
    <cfRule type="expression" priority="419" dxfId="0">
      <formula>=AND(G19&lt;('تنظیمات'!$C$5+203),H19&gt;('تنظیمات'!$C$5+196),F19&gt;0)</formula>
    </cfRule>
  </conditionalFormatting>
  <conditionalFormatting sqref="AM19">
    <cfRule type="expression" priority="420" dxfId="0">
      <formula>=AND(G19&lt;('تنظیمات'!$C$5+210),H19&gt;('تنظیمات'!$C$5+203),F19&gt;0)</formula>
    </cfRule>
  </conditionalFormatting>
  <conditionalFormatting sqref="J20">
    <cfRule type="expression" priority="421" dxfId="0">
      <formula>=AND(G20&lt;('تنظیمات'!$C$5+7),H20&gt;('تنظیمات'!$C$5+0),F20&gt;0)</formula>
    </cfRule>
  </conditionalFormatting>
  <conditionalFormatting sqref="K20">
    <cfRule type="expression" priority="422" dxfId="0">
      <formula>=AND(G20&lt;('تنظیمات'!$C$5+14),H20&gt;('تنظیمات'!$C$5+7),F20&gt;0)</formula>
    </cfRule>
  </conditionalFormatting>
  <conditionalFormatting sqref="L20">
    <cfRule type="expression" priority="423" dxfId="0">
      <formula>=AND(G20&lt;('تنظیمات'!$C$5+21),H20&gt;('تنظیمات'!$C$5+14),F20&gt;0)</formula>
    </cfRule>
  </conditionalFormatting>
  <conditionalFormatting sqref="M20">
    <cfRule type="expression" priority="424" dxfId="0">
      <formula>=AND(G20&lt;('تنظیمات'!$C$5+28),H20&gt;('تنظیمات'!$C$5+21),F20&gt;0)</formula>
    </cfRule>
  </conditionalFormatting>
  <conditionalFormatting sqref="N20">
    <cfRule type="expression" priority="425" dxfId="0">
      <formula>=AND(G20&lt;('تنظیمات'!$C$5+35),H20&gt;('تنظیمات'!$C$5+28),F20&gt;0)</formula>
    </cfRule>
  </conditionalFormatting>
  <conditionalFormatting sqref="O20">
    <cfRule type="expression" priority="426" dxfId="0">
      <formula>=AND(G20&lt;('تنظیمات'!$C$5+42),H20&gt;('تنظیمات'!$C$5+35),F20&gt;0)</formula>
    </cfRule>
  </conditionalFormatting>
  <conditionalFormatting sqref="P20">
    <cfRule type="expression" priority="427" dxfId="0">
      <formula>=AND(G20&lt;('تنظیمات'!$C$5+49),H20&gt;('تنظیمات'!$C$5+42),F20&gt;0)</formula>
    </cfRule>
  </conditionalFormatting>
  <conditionalFormatting sqref="Q20">
    <cfRule type="expression" priority="428" dxfId="0">
      <formula>=AND(G20&lt;('تنظیمات'!$C$5+56),H20&gt;('تنظیمات'!$C$5+49),F20&gt;0)</formula>
    </cfRule>
  </conditionalFormatting>
  <conditionalFormatting sqref="R20">
    <cfRule type="expression" priority="429" dxfId="0">
      <formula>=AND(G20&lt;('تنظیمات'!$C$5+63),H20&gt;('تنظیمات'!$C$5+56),F20&gt;0)</formula>
    </cfRule>
  </conditionalFormatting>
  <conditionalFormatting sqref="S20">
    <cfRule type="expression" priority="430" dxfId="0">
      <formula>=AND(G20&lt;('تنظیمات'!$C$5+70),H20&gt;('تنظیمات'!$C$5+63),F20&gt;0)</formula>
    </cfRule>
  </conditionalFormatting>
  <conditionalFormatting sqref="T20">
    <cfRule type="expression" priority="431" dxfId="0">
      <formula>=AND(G20&lt;('تنظیمات'!$C$5+77),H20&gt;('تنظیمات'!$C$5+70),F20&gt;0)</formula>
    </cfRule>
  </conditionalFormatting>
  <conditionalFormatting sqref="U20">
    <cfRule type="expression" priority="432" dxfId="0">
      <formula>=AND(G20&lt;('تنظیمات'!$C$5+84),H20&gt;('تنظیمات'!$C$5+77),F20&gt;0)</formula>
    </cfRule>
  </conditionalFormatting>
  <conditionalFormatting sqref="V20">
    <cfRule type="expression" priority="433" dxfId="0">
      <formula>=AND(G20&lt;('تنظیمات'!$C$5+91),H20&gt;('تنظیمات'!$C$5+84),F20&gt;0)</formula>
    </cfRule>
  </conditionalFormatting>
  <conditionalFormatting sqref="W20">
    <cfRule type="expression" priority="434" dxfId="0">
      <formula>=AND(G20&lt;('تنظیمات'!$C$5+98),H20&gt;('تنظیمات'!$C$5+91),F20&gt;0)</formula>
    </cfRule>
  </conditionalFormatting>
  <conditionalFormatting sqref="X20">
    <cfRule type="expression" priority="435" dxfId="0">
      <formula>=AND(G20&lt;('تنظیمات'!$C$5+105),H20&gt;('تنظیمات'!$C$5+98),F20&gt;0)</formula>
    </cfRule>
  </conditionalFormatting>
  <conditionalFormatting sqref="Y20">
    <cfRule type="expression" priority="436" dxfId="0">
      <formula>=AND(G20&lt;('تنظیمات'!$C$5+112),H20&gt;('تنظیمات'!$C$5+105),F20&gt;0)</formula>
    </cfRule>
  </conditionalFormatting>
  <conditionalFormatting sqref="Z20">
    <cfRule type="expression" priority="437" dxfId="0">
      <formula>=AND(G20&lt;('تنظیمات'!$C$5+119),H20&gt;('تنظیمات'!$C$5+112),F20&gt;0)</formula>
    </cfRule>
  </conditionalFormatting>
  <conditionalFormatting sqref="AA20">
    <cfRule type="expression" priority="438" dxfId="0">
      <formula>=AND(G20&lt;('تنظیمات'!$C$5+126),H20&gt;('تنظیمات'!$C$5+119),F20&gt;0)</formula>
    </cfRule>
  </conditionalFormatting>
  <conditionalFormatting sqref="AB20">
    <cfRule type="expression" priority="439" dxfId="0">
      <formula>=AND(G20&lt;('تنظیمات'!$C$5+133),H20&gt;('تنظیمات'!$C$5+126),F20&gt;0)</formula>
    </cfRule>
  </conditionalFormatting>
  <conditionalFormatting sqref="AC20">
    <cfRule type="expression" priority="440" dxfId="0">
      <formula>=AND(G20&lt;('تنظیمات'!$C$5+140),H20&gt;('تنظیمات'!$C$5+133),F20&gt;0)</formula>
    </cfRule>
  </conditionalFormatting>
  <conditionalFormatting sqref="AD20">
    <cfRule type="expression" priority="441" dxfId="0">
      <formula>=AND(G20&lt;('تنظیمات'!$C$5+147),H20&gt;('تنظیمات'!$C$5+140),F20&gt;0)</formula>
    </cfRule>
  </conditionalFormatting>
  <conditionalFormatting sqref="AE20">
    <cfRule type="expression" priority="442" dxfId="0">
      <formula>=AND(G20&lt;('تنظیمات'!$C$5+154),H20&gt;('تنظیمات'!$C$5+147),F20&gt;0)</formula>
    </cfRule>
  </conditionalFormatting>
  <conditionalFormatting sqref="AF20">
    <cfRule type="expression" priority="443" dxfId="0">
      <formula>=AND(G20&lt;('تنظیمات'!$C$5+161),H20&gt;('تنظیمات'!$C$5+154),F20&gt;0)</formula>
    </cfRule>
  </conditionalFormatting>
  <conditionalFormatting sqref="AG20">
    <cfRule type="expression" priority="444" dxfId="0">
      <formula>=AND(G20&lt;('تنظیمات'!$C$5+168),H20&gt;('تنظیمات'!$C$5+161),F20&gt;0)</formula>
    </cfRule>
  </conditionalFormatting>
  <conditionalFormatting sqref="AH20">
    <cfRule type="expression" priority="445" dxfId="0">
      <formula>=AND(G20&lt;('تنظیمات'!$C$5+175),H20&gt;('تنظیمات'!$C$5+168),F20&gt;0)</formula>
    </cfRule>
  </conditionalFormatting>
  <conditionalFormatting sqref="AI20">
    <cfRule type="expression" priority="446" dxfId="0">
      <formula>=AND(G20&lt;('تنظیمات'!$C$5+182),H20&gt;('تنظیمات'!$C$5+175),F20&gt;0)</formula>
    </cfRule>
  </conditionalFormatting>
  <conditionalFormatting sqref="AJ20">
    <cfRule type="expression" priority="447" dxfId="0">
      <formula>=AND(G20&lt;('تنظیمات'!$C$5+189),H20&gt;('تنظیمات'!$C$5+182),F20&gt;0)</formula>
    </cfRule>
  </conditionalFormatting>
  <conditionalFormatting sqref="AK20">
    <cfRule type="expression" priority="448" dxfId="0">
      <formula>=AND(G20&lt;('تنظیمات'!$C$5+196),H20&gt;('تنظیمات'!$C$5+189),F20&gt;0)</formula>
    </cfRule>
  </conditionalFormatting>
  <conditionalFormatting sqref="AL20">
    <cfRule type="expression" priority="449" dxfId="0">
      <formula>=AND(G20&lt;('تنظیمات'!$C$5+203),H20&gt;('تنظیمات'!$C$5+196),F20&gt;0)</formula>
    </cfRule>
  </conditionalFormatting>
  <conditionalFormatting sqref="AM20">
    <cfRule type="expression" priority="450" dxfId="0">
      <formula>=AND(G20&lt;('تنظیمات'!$C$5+210),H20&gt;('تنظیمات'!$C$5+203),F20&gt;0)</formula>
    </cfRule>
  </conditionalFormatting>
  <conditionalFormatting sqref="J21">
    <cfRule type="expression" priority="451" dxfId="0">
      <formula>=AND(G21&lt;('تنظیمات'!$C$5+7),H21&gt;('تنظیمات'!$C$5+0),F21&gt;0)</formula>
    </cfRule>
  </conditionalFormatting>
  <conditionalFormatting sqref="K21">
    <cfRule type="expression" priority="452" dxfId="0">
      <formula>=AND(G21&lt;('تنظیمات'!$C$5+14),H21&gt;('تنظیمات'!$C$5+7),F21&gt;0)</formula>
    </cfRule>
  </conditionalFormatting>
  <conditionalFormatting sqref="L21">
    <cfRule type="expression" priority="453" dxfId="0">
      <formula>=AND(G21&lt;('تنظیمات'!$C$5+21),H21&gt;('تنظیمات'!$C$5+14),F21&gt;0)</formula>
    </cfRule>
  </conditionalFormatting>
  <conditionalFormatting sqref="M21">
    <cfRule type="expression" priority="454" dxfId="0">
      <formula>=AND(G21&lt;('تنظیمات'!$C$5+28),H21&gt;('تنظیمات'!$C$5+21),F21&gt;0)</formula>
    </cfRule>
  </conditionalFormatting>
  <conditionalFormatting sqref="N21">
    <cfRule type="expression" priority="455" dxfId="0">
      <formula>=AND(G21&lt;('تنظیمات'!$C$5+35),H21&gt;('تنظیمات'!$C$5+28),F21&gt;0)</formula>
    </cfRule>
  </conditionalFormatting>
  <conditionalFormatting sqref="O21">
    <cfRule type="expression" priority="456" dxfId="0">
      <formula>=AND(G21&lt;('تنظیمات'!$C$5+42),H21&gt;('تنظیمات'!$C$5+35),F21&gt;0)</formula>
    </cfRule>
  </conditionalFormatting>
  <conditionalFormatting sqref="P21">
    <cfRule type="expression" priority="457" dxfId="0">
      <formula>=AND(G21&lt;('تنظیمات'!$C$5+49),H21&gt;('تنظیمات'!$C$5+42),F21&gt;0)</formula>
    </cfRule>
  </conditionalFormatting>
  <conditionalFormatting sqref="Q21">
    <cfRule type="expression" priority="458" dxfId="0">
      <formula>=AND(G21&lt;('تنظیمات'!$C$5+56),H21&gt;('تنظیمات'!$C$5+49),F21&gt;0)</formula>
    </cfRule>
  </conditionalFormatting>
  <conditionalFormatting sqref="R21">
    <cfRule type="expression" priority="459" dxfId="0">
      <formula>=AND(G21&lt;('تنظیمات'!$C$5+63),H21&gt;('تنظیمات'!$C$5+56),F21&gt;0)</formula>
    </cfRule>
  </conditionalFormatting>
  <conditionalFormatting sqref="S21">
    <cfRule type="expression" priority="460" dxfId="0">
      <formula>=AND(G21&lt;('تنظیمات'!$C$5+70),H21&gt;('تنظیمات'!$C$5+63),F21&gt;0)</formula>
    </cfRule>
  </conditionalFormatting>
  <conditionalFormatting sqref="T21">
    <cfRule type="expression" priority="461" dxfId="0">
      <formula>=AND(G21&lt;('تنظیمات'!$C$5+77),H21&gt;('تنظیمات'!$C$5+70),F21&gt;0)</formula>
    </cfRule>
  </conditionalFormatting>
  <conditionalFormatting sqref="U21">
    <cfRule type="expression" priority="462" dxfId="0">
      <formula>=AND(G21&lt;('تنظیمات'!$C$5+84),H21&gt;('تنظیمات'!$C$5+77),F21&gt;0)</formula>
    </cfRule>
  </conditionalFormatting>
  <conditionalFormatting sqref="V21">
    <cfRule type="expression" priority="463" dxfId="0">
      <formula>=AND(G21&lt;('تنظیمات'!$C$5+91),H21&gt;('تنظیمات'!$C$5+84),F21&gt;0)</formula>
    </cfRule>
  </conditionalFormatting>
  <conditionalFormatting sqref="W21">
    <cfRule type="expression" priority="464" dxfId="0">
      <formula>=AND(G21&lt;('تنظیمات'!$C$5+98),H21&gt;('تنظیمات'!$C$5+91),F21&gt;0)</formula>
    </cfRule>
  </conditionalFormatting>
  <conditionalFormatting sqref="X21">
    <cfRule type="expression" priority="465" dxfId="0">
      <formula>=AND(G21&lt;('تنظیمات'!$C$5+105),H21&gt;('تنظیمات'!$C$5+98),F21&gt;0)</formula>
    </cfRule>
  </conditionalFormatting>
  <conditionalFormatting sqref="Y21">
    <cfRule type="expression" priority="466" dxfId="0">
      <formula>=AND(G21&lt;('تنظیمات'!$C$5+112),H21&gt;('تنظیمات'!$C$5+105),F21&gt;0)</formula>
    </cfRule>
  </conditionalFormatting>
  <conditionalFormatting sqref="Z21">
    <cfRule type="expression" priority="467" dxfId="0">
      <formula>=AND(G21&lt;('تنظیمات'!$C$5+119),H21&gt;('تنظیمات'!$C$5+112),F21&gt;0)</formula>
    </cfRule>
  </conditionalFormatting>
  <conditionalFormatting sqref="AA21">
    <cfRule type="expression" priority="468" dxfId="0">
      <formula>=AND(G21&lt;('تنظیمات'!$C$5+126),H21&gt;('تنظیمات'!$C$5+119),F21&gt;0)</formula>
    </cfRule>
  </conditionalFormatting>
  <conditionalFormatting sqref="AB21">
    <cfRule type="expression" priority="469" dxfId="0">
      <formula>=AND(G21&lt;('تنظیمات'!$C$5+133),H21&gt;('تنظیمات'!$C$5+126),F21&gt;0)</formula>
    </cfRule>
  </conditionalFormatting>
  <conditionalFormatting sqref="AC21">
    <cfRule type="expression" priority="470" dxfId="0">
      <formula>=AND(G21&lt;('تنظیمات'!$C$5+140),H21&gt;('تنظیمات'!$C$5+133),F21&gt;0)</formula>
    </cfRule>
  </conditionalFormatting>
  <conditionalFormatting sqref="AD21">
    <cfRule type="expression" priority="471" dxfId="0">
      <formula>=AND(G21&lt;('تنظیمات'!$C$5+147),H21&gt;('تنظیمات'!$C$5+140),F21&gt;0)</formula>
    </cfRule>
  </conditionalFormatting>
  <conditionalFormatting sqref="AE21">
    <cfRule type="expression" priority="472" dxfId="0">
      <formula>=AND(G21&lt;('تنظیمات'!$C$5+154),H21&gt;('تنظیمات'!$C$5+147),F21&gt;0)</formula>
    </cfRule>
  </conditionalFormatting>
  <conditionalFormatting sqref="AF21">
    <cfRule type="expression" priority="473" dxfId="0">
      <formula>=AND(G21&lt;('تنظیمات'!$C$5+161),H21&gt;('تنظیمات'!$C$5+154),F21&gt;0)</formula>
    </cfRule>
  </conditionalFormatting>
  <conditionalFormatting sqref="AG21">
    <cfRule type="expression" priority="474" dxfId="0">
      <formula>=AND(G21&lt;('تنظیمات'!$C$5+168),H21&gt;('تنظیمات'!$C$5+161),F21&gt;0)</formula>
    </cfRule>
  </conditionalFormatting>
  <conditionalFormatting sqref="AH21">
    <cfRule type="expression" priority="475" dxfId="0">
      <formula>=AND(G21&lt;('تنظیمات'!$C$5+175),H21&gt;('تنظیمات'!$C$5+168),F21&gt;0)</formula>
    </cfRule>
  </conditionalFormatting>
  <conditionalFormatting sqref="AI21">
    <cfRule type="expression" priority="476" dxfId="0">
      <formula>=AND(G21&lt;('تنظیمات'!$C$5+182),H21&gt;('تنظیمات'!$C$5+175),F21&gt;0)</formula>
    </cfRule>
  </conditionalFormatting>
  <conditionalFormatting sqref="AJ21">
    <cfRule type="expression" priority="477" dxfId="0">
      <formula>=AND(G21&lt;('تنظیمات'!$C$5+189),H21&gt;('تنظیمات'!$C$5+182),F21&gt;0)</formula>
    </cfRule>
  </conditionalFormatting>
  <conditionalFormatting sqref="AK21">
    <cfRule type="expression" priority="478" dxfId="0">
      <formula>=AND(G21&lt;('تنظیمات'!$C$5+196),H21&gt;('تنظیمات'!$C$5+189),F21&gt;0)</formula>
    </cfRule>
  </conditionalFormatting>
  <conditionalFormatting sqref="AL21">
    <cfRule type="expression" priority="479" dxfId="0">
      <formula>=AND(G21&lt;('تنظیمات'!$C$5+203),H21&gt;('تنظیمات'!$C$5+196),F21&gt;0)</formula>
    </cfRule>
  </conditionalFormatting>
  <conditionalFormatting sqref="AM21">
    <cfRule type="expression" priority="480" dxfId="0">
      <formula>=AND(G21&lt;('تنظیمات'!$C$5+210),H21&gt;('تنظیمات'!$C$5+203),F21&gt;0)</formula>
    </cfRule>
  </conditionalFormatting>
  <conditionalFormatting sqref="J22">
    <cfRule type="expression" priority="481" dxfId="0">
      <formula>=AND(G22&lt;('تنظیمات'!$C$5+7),H22&gt;('تنظیمات'!$C$5+0),F22&gt;0)</formula>
    </cfRule>
  </conditionalFormatting>
  <conditionalFormatting sqref="K22">
    <cfRule type="expression" priority="482" dxfId="0">
      <formula>=AND(G22&lt;('تنظیمات'!$C$5+14),H22&gt;('تنظیمات'!$C$5+7),F22&gt;0)</formula>
    </cfRule>
  </conditionalFormatting>
  <conditionalFormatting sqref="L22">
    <cfRule type="expression" priority="483" dxfId="0">
      <formula>=AND(G22&lt;('تنظیمات'!$C$5+21),H22&gt;('تنظیمات'!$C$5+14),F22&gt;0)</formula>
    </cfRule>
  </conditionalFormatting>
  <conditionalFormatting sqref="M22">
    <cfRule type="expression" priority="484" dxfId="0">
      <formula>=AND(G22&lt;('تنظیمات'!$C$5+28),H22&gt;('تنظیمات'!$C$5+21),F22&gt;0)</formula>
    </cfRule>
  </conditionalFormatting>
  <conditionalFormatting sqref="N22">
    <cfRule type="expression" priority="485" dxfId="0">
      <formula>=AND(G22&lt;('تنظیمات'!$C$5+35),H22&gt;('تنظیمات'!$C$5+28),F22&gt;0)</formula>
    </cfRule>
  </conditionalFormatting>
  <conditionalFormatting sqref="O22">
    <cfRule type="expression" priority="486" dxfId="0">
      <formula>=AND(G22&lt;('تنظیمات'!$C$5+42),H22&gt;('تنظیمات'!$C$5+35),F22&gt;0)</formula>
    </cfRule>
  </conditionalFormatting>
  <conditionalFormatting sqref="P22">
    <cfRule type="expression" priority="487" dxfId="0">
      <formula>=AND(G22&lt;('تنظیمات'!$C$5+49),H22&gt;('تنظیمات'!$C$5+42),F22&gt;0)</formula>
    </cfRule>
  </conditionalFormatting>
  <conditionalFormatting sqref="Q22">
    <cfRule type="expression" priority="488" dxfId="0">
      <formula>=AND(G22&lt;('تنظیمات'!$C$5+56),H22&gt;('تنظیمات'!$C$5+49),F22&gt;0)</formula>
    </cfRule>
  </conditionalFormatting>
  <conditionalFormatting sqref="R22">
    <cfRule type="expression" priority="489" dxfId="0">
      <formula>=AND(G22&lt;('تنظیمات'!$C$5+63),H22&gt;('تنظیمات'!$C$5+56),F22&gt;0)</formula>
    </cfRule>
  </conditionalFormatting>
  <conditionalFormatting sqref="S22">
    <cfRule type="expression" priority="490" dxfId="0">
      <formula>=AND(G22&lt;('تنظیمات'!$C$5+70),H22&gt;('تنظیمات'!$C$5+63),F22&gt;0)</formula>
    </cfRule>
  </conditionalFormatting>
  <conditionalFormatting sqref="T22">
    <cfRule type="expression" priority="491" dxfId="0">
      <formula>=AND(G22&lt;('تنظیمات'!$C$5+77),H22&gt;('تنظیمات'!$C$5+70),F22&gt;0)</formula>
    </cfRule>
  </conditionalFormatting>
  <conditionalFormatting sqref="U22">
    <cfRule type="expression" priority="492" dxfId="0">
      <formula>=AND(G22&lt;('تنظیمات'!$C$5+84),H22&gt;('تنظیمات'!$C$5+77),F22&gt;0)</formula>
    </cfRule>
  </conditionalFormatting>
  <conditionalFormatting sqref="V22">
    <cfRule type="expression" priority="493" dxfId="0">
      <formula>=AND(G22&lt;('تنظیمات'!$C$5+91),H22&gt;('تنظیمات'!$C$5+84),F22&gt;0)</formula>
    </cfRule>
  </conditionalFormatting>
  <conditionalFormatting sqref="W22">
    <cfRule type="expression" priority="494" dxfId="0">
      <formula>=AND(G22&lt;('تنظیمات'!$C$5+98),H22&gt;('تنظیمات'!$C$5+91),F22&gt;0)</formula>
    </cfRule>
  </conditionalFormatting>
  <conditionalFormatting sqref="X22">
    <cfRule type="expression" priority="495" dxfId="0">
      <formula>=AND(G22&lt;('تنظیمات'!$C$5+105),H22&gt;('تنظیمات'!$C$5+98),F22&gt;0)</formula>
    </cfRule>
  </conditionalFormatting>
  <conditionalFormatting sqref="Y22">
    <cfRule type="expression" priority="496" dxfId="0">
      <formula>=AND(G22&lt;('تنظیمات'!$C$5+112),H22&gt;('تنظیمات'!$C$5+105),F22&gt;0)</formula>
    </cfRule>
  </conditionalFormatting>
  <conditionalFormatting sqref="Z22">
    <cfRule type="expression" priority="497" dxfId="0">
      <formula>=AND(G22&lt;('تنظیمات'!$C$5+119),H22&gt;('تنظیمات'!$C$5+112),F22&gt;0)</formula>
    </cfRule>
  </conditionalFormatting>
  <conditionalFormatting sqref="AA22">
    <cfRule type="expression" priority="498" dxfId="0">
      <formula>=AND(G22&lt;('تنظیمات'!$C$5+126),H22&gt;('تنظیمات'!$C$5+119),F22&gt;0)</formula>
    </cfRule>
  </conditionalFormatting>
  <conditionalFormatting sqref="AB22">
    <cfRule type="expression" priority="499" dxfId="0">
      <formula>=AND(G22&lt;('تنظیمات'!$C$5+133),H22&gt;('تنظیمات'!$C$5+126),F22&gt;0)</formula>
    </cfRule>
  </conditionalFormatting>
  <conditionalFormatting sqref="AC22">
    <cfRule type="expression" priority="500" dxfId="0">
      <formula>=AND(G22&lt;('تنظیمات'!$C$5+140),H22&gt;('تنظیمات'!$C$5+133),F22&gt;0)</formula>
    </cfRule>
  </conditionalFormatting>
  <conditionalFormatting sqref="AD22">
    <cfRule type="expression" priority="501" dxfId="0">
      <formula>=AND(G22&lt;('تنظیمات'!$C$5+147),H22&gt;('تنظیمات'!$C$5+140),F22&gt;0)</formula>
    </cfRule>
  </conditionalFormatting>
  <conditionalFormatting sqref="AE22">
    <cfRule type="expression" priority="502" dxfId="0">
      <formula>=AND(G22&lt;('تنظیمات'!$C$5+154),H22&gt;('تنظیمات'!$C$5+147),F22&gt;0)</formula>
    </cfRule>
  </conditionalFormatting>
  <conditionalFormatting sqref="AF22">
    <cfRule type="expression" priority="503" dxfId="0">
      <formula>=AND(G22&lt;('تنظیمات'!$C$5+161),H22&gt;('تنظیمات'!$C$5+154),F22&gt;0)</formula>
    </cfRule>
  </conditionalFormatting>
  <conditionalFormatting sqref="AG22">
    <cfRule type="expression" priority="504" dxfId="0">
      <formula>=AND(G22&lt;('تنظیمات'!$C$5+168),H22&gt;('تنظیمات'!$C$5+161),F22&gt;0)</formula>
    </cfRule>
  </conditionalFormatting>
  <conditionalFormatting sqref="AH22">
    <cfRule type="expression" priority="505" dxfId="0">
      <formula>=AND(G22&lt;('تنظیمات'!$C$5+175),H22&gt;('تنظیمات'!$C$5+168),F22&gt;0)</formula>
    </cfRule>
  </conditionalFormatting>
  <conditionalFormatting sqref="AI22">
    <cfRule type="expression" priority="506" dxfId="0">
      <formula>=AND(G22&lt;('تنظیمات'!$C$5+182),H22&gt;('تنظیمات'!$C$5+175),F22&gt;0)</formula>
    </cfRule>
  </conditionalFormatting>
  <conditionalFormatting sqref="AJ22">
    <cfRule type="expression" priority="507" dxfId="0">
      <formula>=AND(G22&lt;('تنظیمات'!$C$5+189),H22&gt;('تنظیمات'!$C$5+182),F22&gt;0)</formula>
    </cfRule>
  </conditionalFormatting>
  <conditionalFormatting sqref="AK22">
    <cfRule type="expression" priority="508" dxfId="0">
      <formula>=AND(G22&lt;('تنظیمات'!$C$5+196),H22&gt;('تنظیمات'!$C$5+189),F22&gt;0)</formula>
    </cfRule>
  </conditionalFormatting>
  <conditionalFormatting sqref="AL22">
    <cfRule type="expression" priority="509" dxfId="0">
      <formula>=AND(G22&lt;('تنظیمات'!$C$5+203),H22&gt;('تنظیمات'!$C$5+196),F22&gt;0)</formula>
    </cfRule>
  </conditionalFormatting>
  <conditionalFormatting sqref="AM22">
    <cfRule type="expression" priority="510" dxfId="0">
      <formula>=AND(G22&lt;('تنظیمات'!$C$5+210),H22&gt;('تنظیمات'!$C$5+203),F22&gt;0)</formula>
    </cfRule>
  </conditionalFormatting>
  <conditionalFormatting sqref="J23">
    <cfRule type="expression" priority="511" dxfId="1">
      <formula>=AND(G23&gt;=('تنظیمات'!$C$5+0),G23&lt;('تنظیمات'!$C$5+7))</formula>
    </cfRule>
  </conditionalFormatting>
  <conditionalFormatting sqref="K23">
    <cfRule type="expression" priority="512" dxfId="1">
      <formula>=AND(G23&gt;=('تنظیمات'!$C$5+7),G23&lt;('تنظیمات'!$C$5+14))</formula>
    </cfRule>
  </conditionalFormatting>
  <conditionalFormatting sqref="L23">
    <cfRule type="expression" priority="513" dxfId="1">
      <formula>=AND(G23&gt;=('تنظیمات'!$C$5+14),G23&lt;('تنظیمات'!$C$5+21))</formula>
    </cfRule>
  </conditionalFormatting>
  <conditionalFormatting sqref="M23">
    <cfRule type="expression" priority="514" dxfId="1">
      <formula>=AND(G23&gt;=('تنظیمات'!$C$5+21),G23&lt;('تنظیمات'!$C$5+28))</formula>
    </cfRule>
  </conditionalFormatting>
  <conditionalFormatting sqref="N23">
    <cfRule type="expression" priority="515" dxfId="1">
      <formula>=AND(G23&gt;=('تنظیمات'!$C$5+28),G23&lt;('تنظیمات'!$C$5+35))</formula>
    </cfRule>
  </conditionalFormatting>
  <conditionalFormatting sqref="O23">
    <cfRule type="expression" priority="516" dxfId="1">
      <formula>=AND(G23&gt;=('تنظیمات'!$C$5+35),G23&lt;('تنظیمات'!$C$5+42))</formula>
    </cfRule>
  </conditionalFormatting>
  <conditionalFormatting sqref="P23">
    <cfRule type="expression" priority="517" dxfId="1">
      <formula>=AND(G23&gt;=('تنظیمات'!$C$5+42),G23&lt;('تنظیمات'!$C$5+49))</formula>
    </cfRule>
  </conditionalFormatting>
  <conditionalFormatting sqref="Q23">
    <cfRule type="expression" priority="518" dxfId="1">
      <formula>=AND(G23&gt;=('تنظیمات'!$C$5+49),G23&lt;('تنظیمات'!$C$5+56))</formula>
    </cfRule>
  </conditionalFormatting>
  <conditionalFormatting sqref="R23">
    <cfRule type="expression" priority="519" dxfId="1">
      <formula>=AND(G23&gt;=('تنظیمات'!$C$5+56),G23&lt;('تنظیمات'!$C$5+63))</formula>
    </cfRule>
  </conditionalFormatting>
  <conditionalFormatting sqref="S23">
    <cfRule type="expression" priority="520" dxfId="1">
      <formula>=AND(G23&gt;=('تنظیمات'!$C$5+63),G23&lt;('تنظیمات'!$C$5+70))</formula>
    </cfRule>
  </conditionalFormatting>
  <conditionalFormatting sqref="T23">
    <cfRule type="expression" priority="521" dxfId="1">
      <formula>=AND(G23&gt;=('تنظیمات'!$C$5+70),G23&lt;('تنظیمات'!$C$5+77))</formula>
    </cfRule>
  </conditionalFormatting>
  <conditionalFormatting sqref="U23">
    <cfRule type="expression" priority="522" dxfId="1">
      <formula>=AND(G23&gt;=('تنظیمات'!$C$5+77),G23&lt;('تنظیمات'!$C$5+84))</formula>
    </cfRule>
  </conditionalFormatting>
  <conditionalFormatting sqref="V23">
    <cfRule type="expression" priority="523" dxfId="1">
      <formula>=AND(G23&gt;=('تنظیمات'!$C$5+84),G23&lt;('تنظیمات'!$C$5+91))</formula>
    </cfRule>
  </conditionalFormatting>
  <conditionalFormatting sqref="W23">
    <cfRule type="expression" priority="524" dxfId="1">
      <formula>=AND(G23&gt;=('تنظیمات'!$C$5+91),G23&lt;('تنظیمات'!$C$5+98))</formula>
    </cfRule>
  </conditionalFormatting>
  <conditionalFormatting sqref="X23">
    <cfRule type="expression" priority="525" dxfId="1">
      <formula>=AND(G23&gt;=('تنظیمات'!$C$5+98),G23&lt;('تنظیمات'!$C$5+105))</formula>
    </cfRule>
  </conditionalFormatting>
  <conditionalFormatting sqref="Y23">
    <cfRule type="expression" priority="526" dxfId="1">
      <formula>=AND(G23&gt;=('تنظیمات'!$C$5+105),G23&lt;('تنظیمات'!$C$5+112))</formula>
    </cfRule>
  </conditionalFormatting>
  <conditionalFormatting sqref="Z23">
    <cfRule type="expression" priority="527" dxfId="1">
      <formula>=AND(G23&gt;=('تنظیمات'!$C$5+112),G23&lt;('تنظیمات'!$C$5+119))</formula>
    </cfRule>
  </conditionalFormatting>
  <conditionalFormatting sqref="AA23">
    <cfRule type="expression" priority="528" dxfId="1">
      <formula>=AND(G23&gt;=('تنظیمات'!$C$5+119),G23&lt;('تنظیمات'!$C$5+126))</formula>
    </cfRule>
  </conditionalFormatting>
  <conditionalFormatting sqref="AB23">
    <cfRule type="expression" priority="529" dxfId="1">
      <formula>=AND(G23&gt;=('تنظیمات'!$C$5+126),G23&lt;('تنظیمات'!$C$5+133))</formula>
    </cfRule>
  </conditionalFormatting>
  <conditionalFormatting sqref="AC23">
    <cfRule type="expression" priority="530" dxfId="1">
      <formula>=AND(G23&gt;=('تنظیمات'!$C$5+133),G23&lt;('تنظیمات'!$C$5+140))</formula>
    </cfRule>
  </conditionalFormatting>
  <conditionalFormatting sqref="AD23">
    <cfRule type="expression" priority="531" dxfId="1">
      <formula>=AND(G23&gt;=('تنظیمات'!$C$5+140),G23&lt;('تنظیمات'!$C$5+147))</formula>
    </cfRule>
  </conditionalFormatting>
  <conditionalFormatting sqref="AE23">
    <cfRule type="expression" priority="532" dxfId="1">
      <formula>=AND(G23&gt;=('تنظیمات'!$C$5+147),G23&lt;('تنظیمات'!$C$5+154))</formula>
    </cfRule>
  </conditionalFormatting>
  <conditionalFormatting sqref="AF23">
    <cfRule type="expression" priority="533" dxfId="1">
      <formula>=AND(G23&gt;=('تنظیمات'!$C$5+154),G23&lt;('تنظیمات'!$C$5+161))</formula>
    </cfRule>
  </conditionalFormatting>
  <conditionalFormatting sqref="AG23">
    <cfRule type="expression" priority="534" dxfId="1">
      <formula>=AND(G23&gt;=('تنظیمات'!$C$5+161),G23&lt;('تنظیمات'!$C$5+168))</formula>
    </cfRule>
  </conditionalFormatting>
  <conditionalFormatting sqref="AH23">
    <cfRule type="expression" priority="535" dxfId="1">
      <formula>=AND(G23&gt;=('تنظیمات'!$C$5+168),G23&lt;('تنظیمات'!$C$5+175))</formula>
    </cfRule>
  </conditionalFormatting>
  <conditionalFormatting sqref="AI23">
    <cfRule type="expression" priority="536" dxfId="1">
      <formula>=AND(G23&gt;=('تنظیمات'!$C$5+175),G23&lt;('تنظیمات'!$C$5+182))</formula>
    </cfRule>
  </conditionalFormatting>
  <conditionalFormatting sqref="AJ23">
    <cfRule type="expression" priority="537" dxfId="1">
      <formula>=AND(G23&gt;=('تنظیمات'!$C$5+182),G23&lt;('تنظیمات'!$C$5+189))</formula>
    </cfRule>
  </conditionalFormatting>
  <conditionalFormatting sqref="AK23">
    <cfRule type="expression" priority="538" dxfId="1">
      <formula>=AND(G23&gt;=('تنظیمات'!$C$5+189),G23&lt;('تنظیمات'!$C$5+196))</formula>
    </cfRule>
  </conditionalFormatting>
  <conditionalFormatting sqref="AL23">
    <cfRule type="expression" priority="539" dxfId="1">
      <formula>=AND(G23&gt;=('تنظیمات'!$C$5+196),G23&lt;('تنظیمات'!$C$5+203))</formula>
    </cfRule>
  </conditionalFormatting>
  <conditionalFormatting sqref="AM23">
    <cfRule type="expression" priority="540" dxfId="1">
      <formula>=AND(G23&gt;=('تنظیمات'!$C$5+203),G23&lt;('تنظیمات'!$C$5+210))</formula>
    </cfRule>
  </conditionalFormatting>
  <conditionalFormatting sqref="J24">
    <cfRule type="expression" priority="541" dxfId="2">
      <formula>=AND(G24&lt;('تنظیمات'!$C$5+7),H24&gt;('تنظیمات'!$C$5+0),F24&gt;0)</formula>
    </cfRule>
  </conditionalFormatting>
  <conditionalFormatting sqref="K24">
    <cfRule type="expression" priority="542" dxfId="2">
      <formula>=AND(G24&lt;('تنظیمات'!$C$5+14),H24&gt;('تنظیمات'!$C$5+7),F24&gt;0)</formula>
    </cfRule>
  </conditionalFormatting>
  <conditionalFormatting sqref="L24">
    <cfRule type="expression" priority="543" dxfId="2">
      <formula>=AND(G24&lt;('تنظیمات'!$C$5+21),H24&gt;('تنظیمات'!$C$5+14),F24&gt;0)</formula>
    </cfRule>
  </conditionalFormatting>
  <conditionalFormatting sqref="M24">
    <cfRule type="expression" priority="544" dxfId="2">
      <formula>=AND(G24&lt;('تنظیمات'!$C$5+28),H24&gt;('تنظیمات'!$C$5+21),F24&gt;0)</formula>
    </cfRule>
  </conditionalFormatting>
  <conditionalFormatting sqref="N24">
    <cfRule type="expression" priority="545" dxfId="2">
      <formula>=AND(G24&lt;('تنظیمات'!$C$5+35),H24&gt;('تنظیمات'!$C$5+28),F24&gt;0)</formula>
    </cfRule>
  </conditionalFormatting>
  <conditionalFormatting sqref="O24">
    <cfRule type="expression" priority="546" dxfId="2">
      <formula>=AND(G24&lt;('تنظیمات'!$C$5+42),H24&gt;('تنظیمات'!$C$5+35),F24&gt;0)</formula>
    </cfRule>
  </conditionalFormatting>
  <conditionalFormatting sqref="P24">
    <cfRule type="expression" priority="547" dxfId="2">
      <formula>=AND(G24&lt;('تنظیمات'!$C$5+49),H24&gt;('تنظیمات'!$C$5+42),F24&gt;0)</formula>
    </cfRule>
  </conditionalFormatting>
  <conditionalFormatting sqref="Q24">
    <cfRule type="expression" priority="548" dxfId="2">
      <formula>=AND(G24&lt;('تنظیمات'!$C$5+56),H24&gt;('تنظیمات'!$C$5+49),F24&gt;0)</formula>
    </cfRule>
  </conditionalFormatting>
  <conditionalFormatting sqref="R24">
    <cfRule type="expression" priority="549" dxfId="2">
      <formula>=AND(G24&lt;('تنظیمات'!$C$5+63),H24&gt;('تنظیمات'!$C$5+56),F24&gt;0)</formula>
    </cfRule>
  </conditionalFormatting>
  <conditionalFormatting sqref="S24">
    <cfRule type="expression" priority="550" dxfId="2">
      <formula>=AND(G24&lt;('تنظیمات'!$C$5+70),H24&gt;('تنظیمات'!$C$5+63),F24&gt;0)</formula>
    </cfRule>
  </conditionalFormatting>
  <conditionalFormatting sqref="T24">
    <cfRule type="expression" priority="551" dxfId="2">
      <formula>=AND(G24&lt;('تنظیمات'!$C$5+77),H24&gt;('تنظیمات'!$C$5+70),F24&gt;0)</formula>
    </cfRule>
  </conditionalFormatting>
  <conditionalFormatting sqref="U24">
    <cfRule type="expression" priority="552" dxfId="2">
      <formula>=AND(G24&lt;('تنظیمات'!$C$5+84),H24&gt;('تنظیمات'!$C$5+77),F24&gt;0)</formula>
    </cfRule>
  </conditionalFormatting>
  <conditionalFormatting sqref="V24">
    <cfRule type="expression" priority="553" dxfId="2">
      <formula>=AND(G24&lt;('تنظیمات'!$C$5+91),H24&gt;('تنظیمات'!$C$5+84),F24&gt;0)</formula>
    </cfRule>
  </conditionalFormatting>
  <conditionalFormatting sqref="W24">
    <cfRule type="expression" priority="554" dxfId="2">
      <formula>=AND(G24&lt;('تنظیمات'!$C$5+98),H24&gt;('تنظیمات'!$C$5+91),F24&gt;0)</formula>
    </cfRule>
  </conditionalFormatting>
  <conditionalFormatting sqref="X24">
    <cfRule type="expression" priority="555" dxfId="2">
      <formula>=AND(G24&lt;('تنظیمات'!$C$5+105),H24&gt;('تنظیمات'!$C$5+98),F24&gt;0)</formula>
    </cfRule>
  </conditionalFormatting>
  <conditionalFormatting sqref="Y24">
    <cfRule type="expression" priority="556" dxfId="2">
      <formula>=AND(G24&lt;('تنظیمات'!$C$5+112),H24&gt;('تنظیمات'!$C$5+105),F24&gt;0)</formula>
    </cfRule>
  </conditionalFormatting>
  <conditionalFormatting sqref="Z24">
    <cfRule type="expression" priority="557" dxfId="2">
      <formula>=AND(G24&lt;('تنظیمات'!$C$5+119),H24&gt;('تنظیمات'!$C$5+112),F24&gt;0)</formula>
    </cfRule>
  </conditionalFormatting>
  <conditionalFormatting sqref="AA24">
    <cfRule type="expression" priority="558" dxfId="2">
      <formula>=AND(G24&lt;('تنظیمات'!$C$5+126),H24&gt;('تنظیمات'!$C$5+119),F24&gt;0)</formula>
    </cfRule>
  </conditionalFormatting>
  <conditionalFormatting sqref="AB24">
    <cfRule type="expression" priority="559" dxfId="2">
      <formula>=AND(G24&lt;('تنظیمات'!$C$5+133),H24&gt;('تنظیمات'!$C$5+126),F24&gt;0)</formula>
    </cfRule>
  </conditionalFormatting>
  <conditionalFormatting sqref="AC24">
    <cfRule type="expression" priority="560" dxfId="2">
      <formula>=AND(G24&lt;('تنظیمات'!$C$5+140),H24&gt;('تنظیمات'!$C$5+133),F24&gt;0)</formula>
    </cfRule>
  </conditionalFormatting>
  <conditionalFormatting sqref="AD24">
    <cfRule type="expression" priority="561" dxfId="2">
      <formula>=AND(G24&lt;('تنظیمات'!$C$5+147),H24&gt;('تنظیمات'!$C$5+140),F24&gt;0)</formula>
    </cfRule>
  </conditionalFormatting>
  <conditionalFormatting sqref="AE24">
    <cfRule type="expression" priority="562" dxfId="2">
      <formula>=AND(G24&lt;('تنظیمات'!$C$5+154),H24&gt;('تنظیمات'!$C$5+147),F24&gt;0)</formula>
    </cfRule>
  </conditionalFormatting>
  <conditionalFormatting sqref="AF24">
    <cfRule type="expression" priority="563" dxfId="2">
      <formula>=AND(G24&lt;('تنظیمات'!$C$5+161),H24&gt;('تنظیمات'!$C$5+154),F24&gt;0)</formula>
    </cfRule>
  </conditionalFormatting>
  <conditionalFormatting sqref="AG24">
    <cfRule type="expression" priority="564" dxfId="2">
      <formula>=AND(G24&lt;('تنظیمات'!$C$5+168),H24&gt;('تنظیمات'!$C$5+161),F24&gt;0)</formula>
    </cfRule>
  </conditionalFormatting>
  <conditionalFormatting sqref="AH24">
    <cfRule type="expression" priority="565" dxfId="2">
      <formula>=AND(G24&lt;('تنظیمات'!$C$5+175),H24&gt;('تنظیمات'!$C$5+168),F24&gt;0)</formula>
    </cfRule>
  </conditionalFormatting>
  <conditionalFormatting sqref="AI24">
    <cfRule type="expression" priority="566" dxfId="2">
      <formula>=AND(G24&lt;('تنظیمات'!$C$5+182),H24&gt;('تنظیمات'!$C$5+175),F24&gt;0)</formula>
    </cfRule>
  </conditionalFormatting>
  <conditionalFormatting sqref="AJ24">
    <cfRule type="expression" priority="567" dxfId="2">
      <formula>=AND(G24&lt;('تنظیمات'!$C$5+189),H24&gt;('تنظیمات'!$C$5+182),F24&gt;0)</formula>
    </cfRule>
  </conditionalFormatting>
  <conditionalFormatting sqref="AK24">
    <cfRule type="expression" priority="568" dxfId="2">
      <formula>=AND(G24&lt;('تنظیمات'!$C$5+196),H24&gt;('تنظیمات'!$C$5+189),F24&gt;0)</formula>
    </cfRule>
  </conditionalFormatting>
  <conditionalFormatting sqref="AL24">
    <cfRule type="expression" priority="569" dxfId="2">
      <formula>=AND(G24&lt;('تنظیمات'!$C$5+203),H24&gt;('تنظیمات'!$C$5+196),F24&gt;0)</formula>
    </cfRule>
  </conditionalFormatting>
  <conditionalFormatting sqref="AM24">
    <cfRule type="expression" priority="570" dxfId="2">
      <formula>=AND(G24&lt;('تنظیمات'!$C$5+210),H24&gt;('تنظیمات'!$C$5+203),F24&gt;0)</formula>
    </cfRule>
  </conditionalFormatting>
  <conditionalFormatting sqref="J25">
    <cfRule type="expression" priority="571" dxfId="2">
      <formula>=AND(G25&lt;('تنظیمات'!$C$5+7),H25&gt;('تنظیمات'!$C$5+0),F25&gt;0)</formula>
    </cfRule>
  </conditionalFormatting>
  <conditionalFormatting sqref="K25">
    <cfRule type="expression" priority="572" dxfId="2">
      <formula>=AND(G25&lt;('تنظیمات'!$C$5+14),H25&gt;('تنظیمات'!$C$5+7),F25&gt;0)</formula>
    </cfRule>
  </conditionalFormatting>
  <conditionalFormatting sqref="L25">
    <cfRule type="expression" priority="573" dxfId="2">
      <formula>=AND(G25&lt;('تنظیمات'!$C$5+21),H25&gt;('تنظیمات'!$C$5+14),F25&gt;0)</formula>
    </cfRule>
  </conditionalFormatting>
  <conditionalFormatting sqref="M25">
    <cfRule type="expression" priority="574" dxfId="2">
      <formula>=AND(G25&lt;('تنظیمات'!$C$5+28),H25&gt;('تنظیمات'!$C$5+21),F25&gt;0)</formula>
    </cfRule>
  </conditionalFormatting>
  <conditionalFormatting sqref="N25">
    <cfRule type="expression" priority="575" dxfId="2">
      <formula>=AND(G25&lt;('تنظیمات'!$C$5+35),H25&gt;('تنظیمات'!$C$5+28),F25&gt;0)</formula>
    </cfRule>
  </conditionalFormatting>
  <conditionalFormatting sqref="O25">
    <cfRule type="expression" priority="576" dxfId="2">
      <formula>=AND(G25&lt;('تنظیمات'!$C$5+42),H25&gt;('تنظیمات'!$C$5+35),F25&gt;0)</formula>
    </cfRule>
  </conditionalFormatting>
  <conditionalFormatting sqref="P25">
    <cfRule type="expression" priority="577" dxfId="2">
      <formula>=AND(G25&lt;('تنظیمات'!$C$5+49),H25&gt;('تنظیمات'!$C$5+42),F25&gt;0)</formula>
    </cfRule>
  </conditionalFormatting>
  <conditionalFormatting sqref="Q25">
    <cfRule type="expression" priority="578" dxfId="2">
      <formula>=AND(G25&lt;('تنظیمات'!$C$5+56),H25&gt;('تنظیمات'!$C$5+49),F25&gt;0)</formula>
    </cfRule>
  </conditionalFormatting>
  <conditionalFormatting sqref="R25">
    <cfRule type="expression" priority="579" dxfId="2">
      <formula>=AND(G25&lt;('تنظیمات'!$C$5+63),H25&gt;('تنظیمات'!$C$5+56),F25&gt;0)</formula>
    </cfRule>
  </conditionalFormatting>
  <conditionalFormatting sqref="S25">
    <cfRule type="expression" priority="580" dxfId="2">
      <formula>=AND(G25&lt;('تنظیمات'!$C$5+70),H25&gt;('تنظیمات'!$C$5+63),F25&gt;0)</formula>
    </cfRule>
  </conditionalFormatting>
  <conditionalFormatting sqref="T25">
    <cfRule type="expression" priority="581" dxfId="2">
      <formula>=AND(G25&lt;('تنظیمات'!$C$5+77),H25&gt;('تنظیمات'!$C$5+70),F25&gt;0)</formula>
    </cfRule>
  </conditionalFormatting>
  <conditionalFormatting sqref="U25">
    <cfRule type="expression" priority="582" dxfId="2">
      <formula>=AND(G25&lt;('تنظیمات'!$C$5+84),H25&gt;('تنظیمات'!$C$5+77),F25&gt;0)</formula>
    </cfRule>
  </conditionalFormatting>
  <conditionalFormatting sqref="V25">
    <cfRule type="expression" priority="583" dxfId="2">
      <formula>=AND(G25&lt;('تنظیمات'!$C$5+91),H25&gt;('تنظیمات'!$C$5+84),F25&gt;0)</formula>
    </cfRule>
  </conditionalFormatting>
  <conditionalFormatting sqref="W25">
    <cfRule type="expression" priority="584" dxfId="2">
      <formula>=AND(G25&lt;('تنظیمات'!$C$5+98),H25&gt;('تنظیمات'!$C$5+91),F25&gt;0)</formula>
    </cfRule>
  </conditionalFormatting>
  <conditionalFormatting sqref="X25">
    <cfRule type="expression" priority="585" dxfId="2">
      <formula>=AND(G25&lt;('تنظیمات'!$C$5+105),H25&gt;('تنظیمات'!$C$5+98),F25&gt;0)</formula>
    </cfRule>
  </conditionalFormatting>
  <conditionalFormatting sqref="Y25">
    <cfRule type="expression" priority="586" dxfId="2">
      <formula>=AND(G25&lt;('تنظیمات'!$C$5+112),H25&gt;('تنظیمات'!$C$5+105),F25&gt;0)</formula>
    </cfRule>
  </conditionalFormatting>
  <conditionalFormatting sqref="Z25">
    <cfRule type="expression" priority="587" dxfId="2">
      <formula>=AND(G25&lt;('تنظیمات'!$C$5+119),H25&gt;('تنظیمات'!$C$5+112),F25&gt;0)</formula>
    </cfRule>
  </conditionalFormatting>
  <conditionalFormatting sqref="AA25">
    <cfRule type="expression" priority="588" dxfId="2">
      <formula>=AND(G25&lt;('تنظیمات'!$C$5+126),H25&gt;('تنظیمات'!$C$5+119),F25&gt;0)</formula>
    </cfRule>
  </conditionalFormatting>
  <conditionalFormatting sqref="AB25">
    <cfRule type="expression" priority="589" dxfId="2">
      <formula>=AND(G25&lt;('تنظیمات'!$C$5+133),H25&gt;('تنظیمات'!$C$5+126),F25&gt;0)</formula>
    </cfRule>
  </conditionalFormatting>
  <conditionalFormatting sqref="AC25">
    <cfRule type="expression" priority="590" dxfId="2">
      <formula>=AND(G25&lt;('تنظیمات'!$C$5+140),H25&gt;('تنظیمات'!$C$5+133),F25&gt;0)</formula>
    </cfRule>
  </conditionalFormatting>
  <conditionalFormatting sqref="AD25">
    <cfRule type="expression" priority="591" dxfId="2">
      <formula>=AND(G25&lt;('تنظیمات'!$C$5+147),H25&gt;('تنظیمات'!$C$5+140),F25&gt;0)</formula>
    </cfRule>
  </conditionalFormatting>
  <conditionalFormatting sqref="AE25">
    <cfRule type="expression" priority="592" dxfId="2">
      <formula>=AND(G25&lt;('تنظیمات'!$C$5+154),H25&gt;('تنظیمات'!$C$5+147),F25&gt;0)</formula>
    </cfRule>
  </conditionalFormatting>
  <conditionalFormatting sqref="AF25">
    <cfRule type="expression" priority="593" dxfId="2">
      <formula>=AND(G25&lt;('تنظیمات'!$C$5+161),H25&gt;('تنظیمات'!$C$5+154),F25&gt;0)</formula>
    </cfRule>
  </conditionalFormatting>
  <conditionalFormatting sqref="AG25">
    <cfRule type="expression" priority="594" dxfId="2">
      <formula>=AND(G25&lt;('تنظیمات'!$C$5+168),H25&gt;('تنظیمات'!$C$5+161),F25&gt;0)</formula>
    </cfRule>
  </conditionalFormatting>
  <conditionalFormatting sqref="AH25">
    <cfRule type="expression" priority="595" dxfId="2">
      <formula>=AND(G25&lt;('تنظیمات'!$C$5+175),H25&gt;('تنظیمات'!$C$5+168),F25&gt;0)</formula>
    </cfRule>
  </conditionalFormatting>
  <conditionalFormatting sqref="AI25">
    <cfRule type="expression" priority="596" dxfId="2">
      <formula>=AND(G25&lt;('تنظیمات'!$C$5+182),H25&gt;('تنظیمات'!$C$5+175),F25&gt;0)</formula>
    </cfRule>
  </conditionalFormatting>
  <conditionalFormatting sqref="AJ25">
    <cfRule type="expression" priority="597" dxfId="2">
      <formula>=AND(G25&lt;('تنظیمات'!$C$5+189),H25&gt;('تنظیمات'!$C$5+182),F25&gt;0)</formula>
    </cfRule>
  </conditionalFormatting>
  <conditionalFormatting sqref="AK25">
    <cfRule type="expression" priority="598" dxfId="2">
      <formula>=AND(G25&lt;('تنظیمات'!$C$5+196),H25&gt;('تنظیمات'!$C$5+189),F25&gt;0)</formula>
    </cfRule>
  </conditionalFormatting>
  <conditionalFormatting sqref="AL25">
    <cfRule type="expression" priority="599" dxfId="2">
      <formula>=AND(G25&lt;('تنظیمات'!$C$5+203),H25&gt;('تنظیمات'!$C$5+196),F25&gt;0)</formula>
    </cfRule>
  </conditionalFormatting>
  <conditionalFormatting sqref="AM25">
    <cfRule type="expression" priority="600" dxfId="2">
      <formula>=AND(G25&lt;('تنظیمات'!$C$5+210),H25&gt;('تنظیمات'!$C$5+203),F25&gt;0)</formula>
    </cfRule>
  </conditionalFormatting>
  <conditionalFormatting sqref="J26">
    <cfRule type="expression" priority="601" dxfId="2">
      <formula>=AND(G26&lt;('تنظیمات'!$C$5+7),H26&gt;('تنظیمات'!$C$5+0),F26&gt;0)</formula>
    </cfRule>
  </conditionalFormatting>
  <conditionalFormatting sqref="K26">
    <cfRule type="expression" priority="602" dxfId="2">
      <formula>=AND(G26&lt;('تنظیمات'!$C$5+14),H26&gt;('تنظیمات'!$C$5+7),F26&gt;0)</formula>
    </cfRule>
  </conditionalFormatting>
  <conditionalFormatting sqref="L26">
    <cfRule type="expression" priority="603" dxfId="2">
      <formula>=AND(G26&lt;('تنظیمات'!$C$5+21),H26&gt;('تنظیمات'!$C$5+14),F26&gt;0)</formula>
    </cfRule>
  </conditionalFormatting>
  <conditionalFormatting sqref="M26">
    <cfRule type="expression" priority="604" dxfId="2">
      <formula>=AND(G26&lt;('تنظیمات'!$C$5+28),H26&gt;('تنظیمات'!$C$5+21),F26&gt;0)</formula>
    </cfRule>
  </conditionalFormatting>
  <conditionalFormatting sqref="N26">
    <cfRule type="expression" priority="605" dxfId="2">
      <formula>=AND(G26&lt;('تنظیمات'!$C$5+35),H26&gt;('تنظیمات'!$C$5+28),F26&gt;0)</formula>
    </cfRule>
  </conditionalFormatting>
  <conditionalFormatting sqref="O26">
    <cfRule type="expression" priority="606" dxfId="2">
      <formula>=AND(G26&lt;('تنظیمات'!$C$5+42),H26&gt;('تنظیمات'!$C$5+35),F26&gt;0)</formula>
    </cfRule>
  </conditionalFormatting>
  <conditionalFormatting sqref="P26">
    <cfRule type="expression" priority="607" dxfId="2">
      <formula>=AND(G26&lt;('تنظیمات'!$C$5+49),H26&gt;('تنظیمات'!$C$5+42),F26&gt;0)</formula>
    </cfRule>
  </conditionalFormatting>
  <conditionalFormatting sqref="Q26">
    <cfRule type="expression" priority="608" dxfId="2">
      <formula>=AND(G26&lt;('تنظیمات'!$C$5+56),H26&gt;('تنظیمات'!$C$5+49),F26&gt;0)</formula>
    </cfRule>
  </conditionalFormatting>
  <conditionalFormatting sqref="R26">
    <cfRule type="expression" priority="609" dxfId="2">
      <formula>=AND(G26&lt;('تنظیمات'!$C$5+63),H26&gt;('تنظیمات'!$C$5+56),F26&gt;0)</formula>
    </cfRule>
  </conditionalFormatting>
  <conditionalFormatting sqref="S26">
    <cfRule type="expression" priority="610" dxfId="2">
      <formula>=AND(G26&lt;('تنظیمات'!$C$5+70),H26&gt;('تنظیمات'!$C$5+63),F26&gt;0)</formula>
    </cfRule>
  </conditionalFormatting>
  <conditionalFormatting sqref="T26">
    <cfRule type="expression" priority="611" dxfId="2">
      <formula>=AND(G26&lt;('تنظیمات'!$C$5+77),H26&gt;('تنظیمات'!$C$5+70),F26&gt;0)</formula>
    </cfRule>
  </conditionalFormatting>
  <conditionalFormatting sqref="U26">
    <cfRule type="expression" priority="612" dxfId="2">
      <formula>=AND(G26&lt;('تنظیمات'!$C$5+84),H26&gt;('تنظیمات'!$C$5+77),F26&gt;0)</formula>
    </cfRule>
  </conditionalFormatting>
  <conditionalFormatting sqref="V26">
    <cfRule type="expression" priority="613" dxfId="2">
      <formula>=AND(G26&lt;('تنظیمات'!$C$5+91),H26&gt;('تنظیمات'!$C$5+84),F26&gt;0)</formula>
    </cfRule>
  </conditionalFormatting>
  <conditionalFormatting sqref="W26">
    <cfRule type="expression" priority="614" dxfId="2">
      <formula>=AND(G26&lt;('تنظیمات'!$C$5+98),H26&gt;('تنظیمات'!$C$5+91),F26&gt;0)</formula>
    </cfRule>
  </conditionalFormatting>
  <conditionalFormatting sqref="X26">
    <cfRule type="expression" priority="615" dxfId="2">
      <formula>=AND(G26&lt;('تنظیمات'!$C$5+105),H26&gt;('تنظیمات'!$C$5+98),F26&gt;0)</formula>
    </cfRule>
  </conditionalFormatting>
  <conditionalFormatting sqref="Y26">
    <cfRule type="expression" priority="616" dxfId="2">
      <formula>=AND(G26&lt;('تنظیمات'!$C$5+112),H26&gt;('تنظیمات'!$C$5+105),F26&gt;0)</formula>
    </cfRule>
  </conditionalFormatting>
  <conditionalFormatting sqref="Z26">
    <cfRule type="expression" priority="617" dxfId="2">
      <formula>=AND(G26&lt;('تنظیمات'!$C$5+119),H26&gt;('تنظیمات'!$C$5+112),F26&gt;0)</formula>
    </cfRule>
  </conditionalFormatting>
  <conditionalFormatting sqref="AA26">
    <cfRule type="expression" priority="618" dxfId="2">
      <formula>=AND(G26&lt;('تنظیمات'!$C$5+126),H26&gt;('تنظیمات'!$C$5+119),F26&gt;0)</formula>
    </cfRule>
  </conditionalFormatting>
  <conditionalFormatting sqref="AB26">
    <cfRule type="expression" priority="619" dxfId="2">
      <formula>=AND(G26&lt;('تنظیمات'!$C$5+133),H26&gt;('تنظیمات'!$C$5+126),F26&gt;0)</formula>
    </cfRule>
  </conditionalFormatting>
  <conditionalFormatting sqref="AC26">
    <cfRule type="expression" priority="620" dxfId="2">
      <formula>=AND(G26&lt;('تنظیمات'!$C$5+140),H26&gt;('تنظیمات'!$C$5+133),F26&gt;0)</formula>
    </cfRule>
  </conditionalFormatting>
  <conditionalFormatting sqref="AD26">
    <cfRule type="expression" priority="621" dxfId="2">
      <formula>=AND(G26&lt;('تنظیمات'!$C$5+147),H26&gt;('تنظیمات'!$C$5+140),F26&gt;0)</formula>
    </cfRule>
  </conditionalFormatting>
  <conditionalFormatting sqref="AE26">
    <cfRule type="expression" priority="622" dxfId="2">
      <formula>=AND(G26&lt;('تنظیمات'!$C$5+154),H26&gt;('تنظیمات'!$C$5+147),F26&gt;0)</formula>
    </cfRule>
  </conditionalFormatting>
  <conditionalFormatting sqref="AF26">
    <cfRule type="expression" priority="623" dxfId="2">
      <formula>=AND(G26&lt;('تنظیمات'!$C$5+161),H26&gt;('تنظیمات'!$C$5+154),F26&gt;0)</formula>
    </cfRule>
  </conditionalFormatting>
  <conditionalFormatting sqref="AG26">
    <cfRule type="expression" priority="624" dxfId="2">
      <formula>=AND(G26&lt;('تنظیمات'!$C$5+168),H26&gt;('تنظیمات'!$C$5+161),F26&gt;0)</formula>
    </cfRule>
  </conditionalFormatting>
  <conditionalFormatting sqref="AH26">
    <cfRule type="expression" priority="625" dxfId="2">
      <formula>=AND(G26&lt;('تنظیمات'!$C$5+175),H26&gt;('تنظیمات'!$C$5+168),F26&gt;0)</formula>
    </cfRule>
  </conditionalFormatting>
  <conditionalFormatting sqref="AI26">
    <cfRule type="expression" priority="626" dxfId="2">
      <formula>=AND(G26&lt;('تنظیمات'!$C$5+182),H26&gt;('تنظیمات'!$C$5+175),F26&gt;0)</formula>
    </cfRule>
  </conditionalFormatting>
  <conditionalFormatting sqref="AJ26">
    <cfRule type="expression" priority="627" dxfId="2">
      <formula>=AND(G26&lt;('تنظیمات'!$C$5+189),H26&gt;('تنظیمات'!$C$5+182),F26&gt;0)</formula>
    </cfRule>
  </conditionalFormatting>
  <conditionalFormatting sqref="AK26">
    <cfRule type="expression" priority="628" dxfId="2">
      <formula>=AND(G26&lt;('تنظیمات'!$C$5+196),H26&gt;('تنظیمات'!$C$5+189),F26&gt;0)</formula>
    </cfRule>
  </conditionalFormatting>
  <conditionalFormatting sqref="AL26">
    <cfRule type="expression" priority="629" dxfId="2">
      <formula>=AND(G26&lt;('تنظیمات'!$C$5+203),H26&gt;('تنظیمات'!$C$5+196),F26&gt;0)</formula>
    </cfRule>
  </conditionalFormatting>
  <conditionalFormatting sqref="AM26">
    <cfRule type="expression" priority="630" dxfId="2">
      <formula>=AND(G26&lt;('تنظیمات'!$C$5+210),H26&gt;('تنظیمات'!$C$5+203),F26&gt;0)</formula>
    </cfRule>
  </conditionalFormatting>
  <conditionalFormatting sqref="J27">
    <cfRule type="expression" priority="631" dxfId="2">
      <formula>=AND(G27&lt;('تنظیمات'!$C$5+7),H27&gt;('تنظیمات'!$C$5+0),F27&gt;0)</formula>
    </cfRule>
  </conditionalFormatting>
  <conditionalFormatting sqref="K27">
    <cfRule type="expression" priority="632" dxfId="2">
      <formula>=AND(G27&lt;('تنظیمات'!$C$5+14),H27&gt;('تنظیمات'!$C$5+7),F27&gt;0)</formula>
    </cfRule>
  </conditionalFormatting>
  <conditionalFormatting sqref="L27">
    <cfRule type="expression" priority="633" dxfId="2">
      <formula>=AND(G27&lt;('تنظیمات'!$C$5+21),H27&gt;('تنظیمات'!$C$5+14),F27&gt;0)</formula>
    </cfRule>
  </conditionalFormatting>
  <conditionalFormatting sqref="M27">
    <cfRule type="expression" priority="634" dxfId="2">
      <formula>=AND(G27&lt;('تنظیمات'!$C$5+28),H27&gt;('تنظیمات'!$C$5+21),F27&gt;0)</formula>
    </cfRule>
  </conditionalFormatting>
  <conditionalFormatting sqref="N27">
    <cfRule type="expression" priority="635" dxfId="2">
      <formula>=AND(G27&lt;('تنظیمات'!$C$5+35),H27&gt;('تنظیمات'!$C$5+28),F27&gt;0)</formula>
    </cfRule>
  </conditionalFormatting>
  <conditionalFormatting sqref="O27">
    <cfRule type="expression" priority="636" dxfId="2">
      <formula>=AND(G27&lt;('تنظیمات'!$C$5+42),H27&gt;('تنظیمات'!$C$5+35),F27&gt;0)</formula>
    </cfRule>
  </conditionalFormatting>
  <conditionalFormatting sqref="P27">
    <cfRule type="expression" priority="637" dxfId="2">
      <formula>=AND(G27&lt;('تنظیمات'!$C$5+49),H27&gt;('تنظیمات'!$C$5+42),F27&gt;0)</formula>
    </cfRule>
  </conditionalFormatting>
  <conditionalFormatting sqref="Q27">
    <cfRule type="expression" priority="638" dxfId="2">
      <formula>=AND(G27&lt;('تنظیمات'!$C$5+56),H27&gt;('تنظیمات'!$C$5+49),F27&gt;0)</formula>
    </cfRule>
  </conditionalFormatting>
  <conditionalFormatting sqref="R27">
    <cfRule type="expression" priority="639" dxfId="2">
      <formula>=AND(G27&lt;('تنظیمات'!$C$5+63),H27&gt;('تنظیمات'!$C$5+56),F27&gt;0)</formula>
    </cfRule>
  </conditionalFormatting>
  <conditionalFormatting sqref="S27">
    <cfRule type="expression" priority="640" dxfId="2">
      <formula>=AND(G27&lt;('تنظیمات'!$C$5+70),H27&gt;('تنظیمات'!$C$5+63),F27&gt;0)</formula>
    </cfRule>
  </conditionalFormatting>
  <conditionalFormatting sqref="T27">
    <cfRule type="expression" priority="641" dxfId="2">
      <formula>=AND(G27&lt;('تنظیمات'!$C$5+77),H27&gt;('تنظیمات'!$C$5+70),F27&gt;0)</formula>
    </cfRule>
  </conditionalFormatting>
  <conditionalFormatting sqref="U27">
    <cfRule type="expression" priority="642" dxfId="2">
      <formula>=AND(G27&lt;('تنظیمات'!$C$5+84),H27&gt;('تنظیمات'!$C$5+77),F27&gt;0)</formula>
    </cfRule>
  </conditionalFormatting>
  <conditionalFormatting sqref="V27">
    <cfRule type="expression" priority="643" dxfId="2">
      <formula>=AND(G27&lt;('تنظیمات'!$C$5+91),H27&gt;('تنظیمات'!$C$5+84),F27&gt;0)</formula>
    </cfRule>
  </conditionalFormatting>
  <conditionalFormatting sqref="W27">
    <cfRule type="expression" priority="644" dxfId="2">
      <formula>=AND(G27&lt;('تنظیمات'!$C$5+98),H27&gt;('تنظیمات'!$C$5+91),F27&gt;0)</formula>
    </cfRule>
  </conditionalFormatting>
  <conditionalFormatting sqref="X27">
    <cfRule type="expression" priority="645" dxfId="2">
      <formula>=AND(G27&lt;('تنظیمات'!$C$5+105),H27&gt;('تنظیمات'!$C$5+98),F27&gt;0)</formula>
    </cfRule>
  </conditionalFormatting>
  <conditionalFormatting sqref="Y27">
    <cfRule type="expression" priority="646" dxfId="2">
      <formula>=AND(G27&lt;('تنظیمات'!$C$5+112),H27&gt;('تنظیمات'!$C$5+105),F27&gt;0)</formula>
    </cfRule>
  </conditionalFormatting>
  <conditionalFormatting sqref="Z27">
    <cfRule type="expression" priority="647" dxfId="2">
      <formula>=AND(G27&lt;('تنظیمات'!$C$5+119),H27&gt;('تنظیمات'!$C$5+112),F27&gt;0)</formula>
    </cfRule>
  </conditionalFormatting>
  <conditionalFormatting sqref="AA27">
    <cfRule type="expression" priority="648" dxfId="2">
      <formula>=AND(G27&lt;('تنظیمات'!$C$5+126),H27&gt;('تنظیمات'!$C$5+119),F27&gt;0)</formula>
    </cfRule>
  </conditionalFormatting>
  <conditionalFormatting sqref="AB27">
    <cfRule type="expression" priority="649" dxfId="2">
      <formula>=AND(G27&lt;('تنظیمات'!$C$5+133),H27&gt;('تنظیمات'!$C$5+126),F27&gt;0)</formula>
    </cfRule>
  </conditionalFormatting>
  <conditionalFormatting sqref="AC27">
    <cfRule type="expression" priority="650" dxfId="2">
      <formula>=AND(G27&lt;('تنظیمات'!$C$5+140),H27&gt;('تنظیمات'!$C$5+133),F27&gt;0)</formula>
    </cfRule>
  </conditionalFormatting>
  <conditionalFormatting sqref="AD27">
    <cfRule type="expression" priority="651" dxfId="2">
      <formula>=AND(G27&lt;('تنظیمات'!$C$5+147),H27&gt;('تنظیمات'!$C$5+140),F27&gt;0)</formula>
    </cfRule>
  </conditionalFormatting>
  <conditionalFormatting sqref="AE27">
    <cfRule type="expression" priority="652" dxfId="2">
      <formula>=AND(G27&lt;('تنظیمات'!$C$5+154),H27&gt;('تنظیمات'!$C$5+147),F27&gt;0)</formula>
    </cfRule>
  </conditionalFormatting>
  <conditionalFormatting sqref="AF27">
    <cfRule type="expression" priority="653" dxfId="2">
      <formula>=AND(G27&lt;('تنظیمات'!$C$5+161),H27&gt;('تنظیمات'!$C$5+154),F27&gt;0)</formula>
    </cfRule>
  </conditionalFormatting>
  <conditionalFormatting sqref="AG27">
    <cfRule type="expression" priority="654" dxfId="2">
      <formula>=AND(G27&lt;('تنظیمات'!$C$5+168),H27&gt;('تنظیمات'!$C$5+161),F27&gt;0)</formula>
    </cfRule>
  </conditionalFormatting>
  <conditionalFormatting sqref="AH27">
    <cfRule type="expression" priority="655" dxfId="2">
      <formula>=AND(G27&lt;('تنظیمات'!$C$5+175),H27&gt;('تنظیمات'!$C$5+168),F27&gt;0)</formula>
    </cfRule>
  </conditionalFormatting>
  <conditionalFormatting sqref="AI27">
    <cfRule type="expression" priority="656" dxfId="2">
      <formula>=AND(G27&lt;('تنظیمات'!$C$5+182),H27&gt;('تنظیمات'!$C$5+175),F27&gt;0)</formula>
    </cfRule>
  </conditionalFormatting>
  <conditionalFormatting sqref="AJ27">
    <cfRule type="expression" priority="657" dxfId="2">
      <formula>=AND(G27&lt;('تنظیمات'!$C$5+189),H27&gt;('تنظیمات'!$C$5+182),F27&gt;0)</formula>
    </cfRule>
  </conditionalFormatting>
  <conditionalFormatting sqref="AK27">
    <cfRule type="expression" priority="658" dxfId="2">
      <formula>=AND(G27&lt;('تنظیمات'!$C$5+196),H27&gt;('تنظیمات'!$C$5+189),F27&gt;0)</formula>
    </cfRule>
  </conditionalFormatting>
  <conditionalFormatting sqref="AL27">
    <cfRule type="expression" priority="659" dxfId="2">
      <formula>=AND(G27&lt;('تنظیمات'!$C$5+203),H27&gt;('تنظیمات'!$C$5+196),F27&gt;0)</formula>
    </cfRule>
  </conditionalFormatting>
  <conditionalFormatting sqref="AM27">
    <cfRule type="expression" priority="660" dxfId="2">
      <formula>=AND(G27&lt;('تنظیمات'!$C$5+210),H27&gt;('تنظیمات'!$C$5+203),F27&gt;0)</formula>
    </cfRule>
  </conditionalFormatting>
  <conditionalFormatting sqref="J28">
    <cfRule type="expression" priority="661" dxfId="2">
      <formula>=AND(G28&lt;('تنظیمات'!$C$5+7),H28&gt;('تنظیمات'!$C$5+0),F28&gt;0)</formula>
    </cfRule>
  </conditionalFormatting>
  <conditionalFormatting sqref="K28">
    <cfRule type="expression" priority="662" dxfId="2">
      <formula>=AND(G28&lt;('تنظیمات'!$C$5+14),H28&gt;('تنظیمات'!$C$5+7),F28&gt;0)</formula>
    </cfRule>
  </conditionalFormatting>
  <conditionalFormatting sqref="L28">
    <cfRule type="expression" priority="663" dxfId="2">
      <formula>=AND(G28&lt;('تنظیمات'!$C$5+21),H28&gt;('تنظیمات'!$C$5+14),F28&gt;0)</formula>
    </cfRule>
  </conditionalFormatting>
  <conditionalFormatting sqref="M28">
    <cfRule type="expression" priority="664" dxfId="2">
      <formula>=AND(G28&lt;('تنظیمات'!$C$5+28),H28&gt;('تنظیمات'!$C$5+21),F28&gt;0)</formula>
    </cfRule>
  </conditionalFormatting>
  <conditionalFormatting sqref="N28">
    <cfRule type="expression" priority="665" dxfId="2">
      <formula>=AND(G28&lt;('تنظیمات'!$C$5+35),H28&gt;('تنظیمات'!$C$5+28),F28&gt;0)</formula>
    </cfRule>
  </conditionalFormatting>
  <conditionalFormatting sqref="O28">
    <cfRule type="expression" priority="666" dxfId="2">
      <formula>=AND(G28&lt;('تنظیمات'!$C$5+42),H28&gt;('تنظیمات'!$C$5+35),F28&gt;0)</formula>
    </cfRule>
  </conditionalFormatting>
  <conditionalFormatting sqref="P28">
    <cfRule type="expression" priority="667" dxfId="2">
      <formula>=AND(G28&lt;('تنظیمات'!$C$5+49),H28&gt;('تنظیمات'!$C$5+42),F28&gt;0)</formula>
    </cfRule>
  </conditionalFormatting>
  <conditionalFormatting sqref="Q28">
    <cfRule type="expression" priority="668" dxfId="2">
      <formula>=AND(G28&lt;('تنظیمات'!$C$5+56),H28&gt;('تنظیمات'!$C$5+49),F28&gt;0)</formula>
    </cfRule>
  </conditionalFormatting>
  <conditionalFormatting sqref="R28">
    <cfRule type="expression" priority="669" dxfId="2">
      <formula>=AND(G28&lt;('تنظیمات'!$C$5+63),H28&gt;('تنظیمات'!$C$5+56),F28&gt;0)</formula>
    </cfRule>
  </conditionalFormatting>
  <conditionalFormatting sqref="S28">
    <cfRule type="expression" priority="670" dxfId="2">
      <formula>=AND(G28&lt;('تنظیمات'!$C$5+70),H28&gt;('تنظیمات'!$C$5+63),F28&gt;0)</formula>
    </cfRule>
  </conditionalFormatting>
  <conditionalFormatting sqref="T28">
    <cfRule type="expression" priority="671" dxfId="2">
      <formula>=AND(G28&lt;('تنظیمات'!$C$5+77),H28&gt;('تنظیمات'!$C$5+70),F28&gt;0)</formula>
    </cfRule>
  </conditionalFormatting>
  <conditionalFormatting sqref="U28">
    <cfRule type="expression" priority="672" dxfId="2">
      <formula>=AND(G28&lt;('تنظیمات'!$C$5+84),H28&gt;('تنظیمات'!$C$5+77),F28&gt;0)</formula>
    </cfRule>
  </conditionalFormatting>
  <conditionalFormatting sqref="V28">
    <cfRule type="expression" priority="673" dxfId="2">
      <formula>=AND(G28&lt;('تنظیمات'!$C$5+91),H28&gt;('تنظیمات'!$C$5+84),F28&gt;0)</formula>
    </cfRule>
  </conditionalFormatting>
  <conditionalFormatting sqref="W28">
    <cfRule type="expression" priority="674" dxfId="2">
      <formula>=AND(G28&lt;('تنظیمات'!$C$5+98),H28&gt;('تنظیمات'!$C$5+91),F28&gt;0)</formula>
    </cfRule>
  </conditionalFormatting>
  <conditionalFormatting sqref="X28">
    <cfRule type="expression" priority="675" dxfId="2">
      <formula>=AND(G28&lt;('تنظیمات'!$C$5+105),H28&gt;('تنظیمات'!$C$5+98),F28&gt;0)</formula>
    </cfRule>
  </conditionalFormatting>
  <conditionalFormatting sqref="Y28">
    <cfRule type="expression" priority="676" dxfId="2">
      <formula>=AND(G28&lt;('تنظیمات'!$C$5+112),H28&gt;('تنظیمات'!$C$5+105),F28&gt;0)</formula>
    </cfRule>
  </conditionalFormatting>
  <conditionalFormatting sqref="Z28">
    <cfRule type="expression" priority="677" dxfId="2">
      <formula>=AND(G28&lt;('تنظیمات'!$C$5+119),H28&gt;('تنظیمات'!$C$5+112),F28&gt;0)</formula>
    </cfRule>
  </conditionalFormatting>
  <conditionalFormatting sqref="AA28">
    <cfRule type="expression" priority="678" dxfId="2">
      <formula>=AND(G28&lt;('تنظیمات'!$C$5+126),H28&gt;('تنظیمات'!$C$5+119),F28&gt;0)</formula>
    </cfRule>
  </conditionalFormatting>
  <conditionalFormatting sqref="AB28">
    <cfRule type="expression" priority="679" dxfId="2">
      <formula>=AND(G28&lt;('تنظیمات'!$C$5+133),H28&gt;('تنظیمات'!$C$5+126),F28&gt;0)</formula>
    </cfRule>
  </conditionalFormatting>
  <conditionalFormatting sqref="AC28">
    <cfRule type="expression" priority="680" dxfId="2">
      <formula>=AND(G28&lt;('تنظیمات'!$C$5+140),H28&gt;('تنظیمات'!$C$5+133),F28&gt;0)</formula>
    </cfRule>
  </conditionalFormatting>
  <conditionalFormatting sqref="AD28">
    <cfRule type="expression" priority="681" dxfId="2">
      <formula>=AND(G28&lt;('تنظیمات'!$C$5+147),H28&gt;('تنظیمات'!$C$5+140),F28&gt;0)</formula>
    </cfRule>
  </conditionalFormatting>
  <conditionalFormatting sqref="AE28">
    <cfRule type="expression" priority="682" dxfId="2">
      <formula>=AND(G28&lt;('تنظیمات'!$C$5+154),H28&gt;('تنظیمات'!$C$5+147),F28&gt;0)</formula>
    </cfRule>
  </conditionalFormatting>
  <conditionalFormatting sqref="AF28">
    <cfRule type="expression" priority="683" dxfId="2">
      <formula>=AND(G28&lt;('تنظیمات'!$C$5+161),H28&gt;('تنظیمات'!$C$5+154),F28&gt;0)</formula>
    </cfRule>
  </conditionalFormatting>
  <conditionalFormatting sqref="AG28">
    <cfRule type="expression" priority="684" dxfId="2">
      <formula>=AND(G28&lt;('تنظیمات'!$C$5+168),H28&gt;('تنظیمات'!$C$5+161),F28&gt;0)</formula>
    </cfRule>
  </conditionalFormatting>
  <conditionalFormatting sqref="AH28">
    <cfRule type="expression" priority="685" dxfId="2">
      <formula>=AND(G28&lt;('تنظیمات'!$C$5+175),H28&gt;('تنظیمات'!$C$5+168),F28&gt;0)</formula>
    </cfRule>
  </conditionalFormatting>
  <conditionalFormatting sqref="AI28">
    <cfRule type="expression" priority="686" dxfId="2">
      <formula>=AND(G28&lt;('تنظیمات'!$C$5+182),H28&gt;('تنظیمات'!$C$5+175),F28&gt;0)</formula>
    </cfRule>
  </conditionalFormatting>
  <conditionalFormatting sqref="AJ28">
    <cfRule type="expression" priority="687" dxfId="2">
      <formula>=AND(G28&lt;('تنظیمات'!$C$5+189),H28&gt;('تنظیمات'!$C$5+182),F28&gt;0)</formula>
    </cfRule>
  </conditionalFormatting>
  <conditionalFormatting sqref="AK28">
    <cfRule type="expression" priority="688" dxfId="2">
      <formula>=AND(G28&lt;('تنظیمات'!$C$5+196),H28&gt;('تنظیمات'!$C$5+189),F28&gt;0)</formula>
    </cfRule>
  </conditionalFormatting>
  <conditionalFormatting sqref="AL28">
    <cfRule type="expression" priority="689" dxfId="2">
      <formula>=AND(G28&lt;('تنظیمات'!$C$5+203),H28&gt;('تنظیمات'!$C$5+196),F28&gt;0)</formula>
    </cfRule>
  </conditionalFormatting>
  <conditionalFormatting sqref="AM28">
    <cfRule type="expression" priority="690" dxfId="2">
      <formula>=AND(G28&lt;('تنظیمات'!$C$5+210),H28&gt;('تنظیمات'!$C$5+203),F28&gt;0)</formula>
    </cfRule>
  </conditionalFormatting>
  <conditionalFormatting sqref="J29">
    <cfRule type="expression" priority="691" dxfId="2">
      <formula>=AND(G29&lt;('تنظیمات'!$C$5+7),H29&gt;('تنظیمات'!$C$5+0),F29&gt;0)</formula>
    </cfRule>
  </conditionalFormatting>
  <conditionalFormatting sqref="K29">
    <cfRule type="expression" priority="692" dxfId="2">
      <formula>=AND(G29&lt;('تنظیمات'!$C$5+14),H29&gt;('تنظیمات'!$C$5+7),F29&gt;0)</formula>
    </cfRule>
  </conditionalFormatting>
  <conditionalFormatting sqref="L29">
    <cfRule type="expression" priority="693" dxfId="2">
      <formula>=AND(G29&lt;('تنظیمات'!$C$5+21),H29&gt;('تنظیمات'!$C$5+14),F29&gt;0)</formula>
    </cfRule>
  </conditionalFormatting>
  <conditionalFormatting sqref="M29">
    <cfRule type="expression" priority="694" dxfId="2">
      <formula>=AND(G29&lt;('تنظیمات'!$C$5+28),H29&gt;('تنظیمات'!$C$5+21),F29&gt;0)</formula>
    </cfRule>
  </conditionalFormatting>
  <conditionalFormatting sqref="N29">
    <cfRule type="expression" priority="695" dxfId="2">
      <formula>=AND(G29&lt;('تنظیمات'!$C$5+35),H29&gt;('تنظیمات'!$C$5+28),F29&gt;0)</formula>
    </cfRule>
  </conditionalFormatting>
  <conditionalFormatting sqref="O29">
    <cfRule type="expression" priority="696" dxfId="2">
      <formula>=AND(G29&lt;('تنظیمات'!$C$5+42),H29&gt;('تنظیمات'!$C$5+35),F29&gt;0)</formula>
    </cfRule>
  </conditionalFormatting>
  <conditionalFormatting sqref="P29">
    <cfRule type="expression" priority="697" dxfId="2">
      <formula>=AND(G29&lt;('تنظیمات'!$C$5+49),H29&gt;('تنظیمات'!$C$5+42),F29&gt;0)</formula>
    </cfRule>
  </conditionalFormatting>
  <conditionalFormatting sqref="Q29">
    <cfRule type="expression" priority="698" dxfId="2">
      <formula>=AND(G29&lt;('تنظیمات'!$C$5+56),H29&gt;('تنظیمات'!$C$5+49),F29&gt;0)</formula>
    </cfRule>
  </conditionalFormatting>
  <conditionalFormatting sqref="R29">
    <cfRule type="expression" priority="699" dxfId="2">
      <formula>=AND(G29&lt;('تنظیمات'!$C$5+63),H29&gt;('تنظیمات'!$C$5+56),F29&gt;0)</formula>
    </cfRule>
  </conditionalFormatting>
  <conditionalFormatting sqref="S29">
    <cfRule type="expression" priority="700" dxfId="2">
      <formula>=AND(G29&lt;('تنظیمات'!$C$5+70),H29&gt;('تنظیمات'!$C$5+63),F29&gt;0)</formula>
    </cfRule>
  </conditionalFormatting>
  <conditionalFormatting sqref="T29">
    <cfRule type="expression" priority="701" dxfId="2">
      <formula>=AND(G29&lt;('تنظیمات'!$C$5+77),H29&gt;('تنظیمات'!$C$5+70),F29&gt;0)</formula>
    </cfRule>
  </conditionalFormatting>
  <conditionalFormatting sqref="U29">
    <cfRule type="expression" priority="702" dxfId="2">
      <formula>=AND(G29&lt;('تنظیمات'!$C$5+84),H29&gt;('تنظیمات'!$C$5+77),F29&gt;0)</formula>
    </cfRule>
  </conditionalFormatting>
  <conditionalFormatting sqref="V29">
    <cfRule type="expression" priority="703" dxfId="2">
      <formula>=AND(G29&lt;('تنظیمات'!$C$5+91),H29&gt;('تنظیمات'!$C$5+84),F29&gt;0)</formula>
    </cfRule>
  </conditionalFormatting>
  <conditionalFormatting sqref="W29">
    <cfRule type="expression" priority="704" dxfId="2">
      <formula>=AND(G29&lt;('تنظیمات'!$C$5+98),H29&gt;('تنظیمات'!$C$5+91),F29&gt;0)</formula>
    </cfRule>
  </conditionalFormatting>
  <conditionalFormatting sqref="X29">
    <cfRule type="expression" priority="705" dxfId="2">
      <formula>=AND(G29&lt;('تنظیمات'!$C$5+105),H29&gt;('تنظیمات'!$C$5+98),F29&gt;0)</formula>
    </cfRule>
  </conditionalFormatting>
  <conditionalFormatting sqref="Y29">
    <cfRule type="expression" priority="706" dxfId="2">
      <formula>=AND(G29&lt;('تنظیمات'!$C$5+112),H29&gt;('تنظیمات'!$C$5+105),F29&gt;0)</formula>
    </cfRule>
  </conditionalFormatting>
  <conditionalFormatting sqref="Z29">
    <cfRule type="expression" priority="707" dxfId="2">
      <formula>=AND(G29&lt;('تنظیمات'!$C$5+119),H29&gt;('تنظیمات'!$C$5+112),F29&gt;0)</formula>
    </cfRule>
  </conditionalFormatting>
  <conditionalFormatting sqref="AA29">
    <cfRule type="expression" priority="708" dxfId="2">
      <formula>=AND(G29&lt;('تنظیمات'!$C$5+126),H29&gt;('تنظیمات'!$C$5+119),F29&gt;0)</formula>
    </cfRule>
  </conditionalFormatting>
  <conditionalFormatting sqref="AB29">
    <cfRule type="expression" priority="709" dxfId="2">
      <formula>=AND(G29&lt;('تنظیمات'!$C$5+133),H29&gt;('تنظیمات'!$C$5+126),F29&gt;0)</formula>
    </cfRule>
  </conditionalFormatting>
  <conditionalFormatting sqref="AC29">
    <cfRule type="expression" priority="710" dxfId="2">
      <formula>=AND(G29&lt;('تنظیمات'!$C$5+140),H29&gt;('تنظیمات'!$C$5+133),F29&gt;0)</formula>
    </cfRule>
  </conditionalFormatting>
  <conditionalFormatting sqref="AD29">
    <cfRule type="expression" priority="711" dxfId="2">
      <formula>=AND(G29&lt;('تنظیمات'!$C$5+147),H29&gt;('تنظیمات'!$C$5+140),F29&gt;0)</formula>
    </cfRule>
  </conditionalFormatting>
  <conditionalFormatting sqref="AE29">
    <cfRule type="expression" priority="712" dxfId="2">
      <formula>=AND(G29&lt;('تنظیمات'!$C$5+154),H29&gt;('تنظیمات'!$C$5+147),F29&gt;0)</formula>
    </cfRule>
  </conditionalFormatting>
  <conditionalFormatting sqref="AF29">
    <cfRule type="expression" priority="713" dxfId="2">
      <formula>=AND(G29&lt;('تنظیمات'!$C$5+161),H29&gt;('تنظیمات'!$C$5+154),F29&gt;0)</formula>
    </cfRule>
  </conditionalFormatting>
  <conditionalFormatting sqref="AG29">
    <cfRule type="expression" priority="714" dxfId="2">
      <formula>=AND(G29&lt;('تنظیمات'!$C$5+168),H29&gt;('تنظیمات'!$C$5+161),F29&gt;0)</formula>
    </cfRule>
  </conditionalFormatting>
  <conditionalFormatting sqref="AH29">
    <cfRule type="expression" priority="715" dxfId="2">
      <formula>=AND(G29&lt;('تنظیمات'!$C$5+175),H29&gt;('تنظیمات'!$C$5+168),F29&gt;0)</formula>
    </cfRule>
  </conditionalFormatting>
  <conditionalFormatting sqref="AI29">
    <cfRule type="expression" priority="716" dxfId="2">
      <formula>=AND(G29&lt;('تنظیمات'!$C$5+182),H29&gt;('تنظیمات'!$C$5+175),F29&gt;0)</formula>
    </cfRule>
  </conditionalFormatting>
  <conditionalFormatting sqref="AJ29">
    <cfRule type="expression" priority="717" dxfId="2">
      <formula>=AND(G29&lt;('تنظیمات'!$C$5+189),H29&gt;('تنظیمات'!$C$5+182),F29&gt;0)</formula>
    </cfRule>
  </conditionalFormatting>
  <conditionalFormatting sqref="AK29">
    <cfRule type="expression" priority="718" dxfId="2">
      <formula>=AND(G29&lt;('تنظیمات'!$C$5+196),H29&gt;('تنظیمات'!$C$5+189),F29&gt;0)</formula>
    </cfRule>
  </conditionalFormatting>
  <conditionalFormatting sqref="AL29">
    <cfRule type="expression" priority="719" dxfId="2">
      <formula>=AND(G29&lt;('تنظیمات'!$C$5+203),H29&gt;('تنظیمات'!$C$5+196),F29&gt;0)</formula>
    </cfRule>
  </conditionalFormatting>
  <conditionalFormatting sqref="AM29">
    <cfRule type="expression" priority="720" dxfId="2">
      <formula>=AND(G29&lt;('تنظیمات'!$C$5+210),H29&gt;('تنظیمات'!$C$5+203),F29&gt;0)</formula>
    </cfRule>
  </conditionalFormatting>
  <conditionalFormatting sqref="J30">
    <cfRule type="expression" priority="721" dxfId="2">
      <formula>=AND(G30&lt;('تنظیمات'!$C$5+7),H30&gt;('تنظیمات'!$C$5+0),F30&gt;0)</formula>
    </cfRule>
  </conditionalFormatting>
  <conditionalFormatting sqref="K30">
    <cfRule type="expression" priority="722" dxfId="2">
      <formula>=AND(G30&lt;('تنظیمات'!$C$5+14),H30&gt;('تنظیمات'!$C$5+7),F30&gt;0)</formula>
    </cfRule>
  </conditionalFormatting>
  <conditionalFormatting sqref="L30">
    <cfRule type="expression" priority="723" dxfId="2">
      <formula>=AND(G30&lt;('تنظیمات'!$C$5+21),H30&gt;('تنظیمات'!$C$5+14),F30&gt;0)</formula>
    </cfRule>
  </conditionalFormatting>
  <conditionalFormatting sqref="M30">
    <cfRule type="expression" priority="724" dxfId="2">
      <formula>=AND(G30&lt;('تنظیمات'!$C$5+28),H30&gt;('تنظیمات'!$C$5+21),F30&gt;0)</formula>
    </cfRule>
  </conditionalFormatting>
  <conditionalFormatting sqref="N30">
    <cfRule type="expression" priority="725" dxfId="2">
      <formula>=AND(G30&lt;('تنظیمات'!$C$5+35),H30&gt;('تنظیمات'!$C$5+28),F30&gt;0)</formula>
    </cfRule>
  </conditionalFormatting>
  <conditionalFormatting sqref="O30">
    <cfRule type="expression" priority="726" dxfId="2">
      <formula>=AND(G30&lt;('تنظیمات'!$C$5+42),H30&gt;('تنظیمات'!$C$5+35),F30&gt;0)</formula>
    </cfRule>
  </conditionalFormatting>
  <conditionalFormatting sqref="P30">
    <cfRule type="expression" priority="727" dxfId="2">
      <formula>=AND(G30&lt;('تنظیمات'!$C$5+49),H30&gt;('تنظیمات'!$C$5+42),F30&gt;0)</formula>
    </cfRule>
  </conditionalFormatting>
  <conditionalFormatting sqref="Q30">
    <cfRule type="expression" priority="728" dxfId="2">
      <formula>=AND(G30&lt;('تنظیمات'!$C$5+56),H30&gt;('تنظیمات'!$C$5+49),F30&gt;0)</formula>
    </cfRule>
  </conditionalFormatting>
  <conditionalFormatting sqref="R30">
    <cfRule type="expression" priority="729" dxfId="2">
      <formula>=AND(G30&lt;('تنظیمات'!$C$5+63),H30&gt;('تنظیمات'!$C$5+56),F30&gt;0)</formula>
    </cfRule>
  </conditionalFormatting>
  <conditionalFormatting sqref="S30">
    <cfRule type="expression" priority="730" dxfId="2">
      <formula>=AND(G30&lt;('تنظیمات'!$C$5+70),H30&gt;('تنظیمات'!$C$5+63),F30&gt;0)</formula>
    </cfRule>
  </conditionalFormatting>
  <conditionalFormatting sqref="T30">
    <cfRule type="expression" priority="731" dxfId="2">
      <formula>=AND(G30&lt;('تنظیمات'!$C$5+77),H30&gt;('تنظیمات'!$C$5+70),F30&gt;0)</formula>
    </cfRule>
  </conditionalFormatting>
  <conditionalFormatting sqref="U30">
    <cfRule type="expression" priority="732" dxfId="2">
      <formula>=AND(G30&lt;('تنظیمات'!$C$5+84),H30&gt;('تنظیمات'!$C$5+77),F30&gt;0)</formula>
    </cfRule>
  </conditionalFormatting>
  <conditionalFormatting sqref="V30">
    <cfRule type="expression" priority="733" dxfId="2">
      <formula>=AND(G30&lt;('تنظیمات'!$C$5+91),H30&gt;('تنظیمات'!$C$5+84),F30&gt;0)</formula>
    </cfRule>
  </conditionalFormatting>
  <conditionalFormatting sqref="W30">
    <cfRule type="expression" priority="734" dxfId="2">
      <formula>=AND(G30&lt;('تنظیمات'!$C$5+98),H30&gt;('تنظیمات'!$C$5+91),F30&gt;0)</formula>
    </cfRule>
  </conditionalFormatting>
  <conditionalFormatting sqref="X30">
    <cfRule type="expression" priority="735" dxfId="2">
      <formula>=AND(G30&lt;('تنظیمات'!$C$5+105),H30&gt;('تنظیمات'!$C$5+98),F30&gt;0)</formula>
    </cfRule>
  </conditionalFormatting>
  <conditionalFormatting sqref="Y30">
    <cfRule type="expression" priority="736" dxfId="2">
      <formula>=AND(G30&lt;('تنظیمات'!$C$5+112),H30&gt;('تنظیمات'!$C$5+105),F30&gt;0)</formula>
    </cfRule>
  </conditionalFormatting>
  <conditionalFormatting sqref="Z30">
    <cfRule type="expression" priority="737" dxfId="2">
      <formula>=AND(G30&lt;('تنظیمات'!$C$5+119),H30&gt;('تنظیمات'!$C$5+112),F30&gt;0)</formula>
    </cfRule>
  </conditionalFormatting>
  <conditionalFormatting sqref="AA30">
    <cfRule type="expression" priority="738" dxfId="2">
      <formula>=AND(G30&lt;('تنظیمات'!$C$5+126),H30&gt;('تنظیمات'!$C$5+119),F30&gt;0)</formula>
    </cfRule>
  </conditionalFormatting>
  <conditionalFormatting sqref="AB30">
    <cfRule type="expression" priority="739" dxfId="2">
      <formula>=AND(G30&lt;('تنظیمات'!$C$5+133),H30&gt;('تنظیمات'!$C$5+126),F30&gt;0)</formula>
    </cfRule>
  </conditionalFormatting>
  <conditionalFormatting sqref="AC30">
    <cfRule type="expression" priority="740" dxfId="2">
      <formula>=AND(G30&lt;('تنظیمات'!$C$5+140),H30&gt;('تنظیمات'!$C$5+133),F30&gt;0)</formula>
    </cfRule>
  </conditionalFormatting>
  <conditionalFormatting sqref="AD30">
    <cfRule type="expression" priority="741" dxfId="2">
      <formula>=AND(G30&lt;('تنظیمات'!$C$5+147),H30&gt;('تنظیمات'!$C$5+140),F30&gt;0)</formula>
    </cfRule>
  </conditionalFormatting>
  <conditionalFormatting sqref="AE30">
    <cfRule type="expression" priority="742" dxfId="2">
      <formula>=AND(G30&lt;('تنظیمات'!$C$5+154),H30&gt;('تنظیمات'!$C$5+147),F30&gt;0)</formula>
    </cfRule>
  </conditionalFormatting>
  <conditionalFormatting sqref="AF30">
    <cfRule type="expression" priority="743" dxfId="2">
      <formula>=AND(G30&lt;('تنظیمات'!$C$5+161),H30&gt;('تنظیمات'!$C$5+154),F30&gt;0)</formula>
    </cfRule>
  </conditionalFormatting>
  <conditionalFormatting sqref="AG30">
    <cfRule type="expression" priority="744" dxfId="2">
      <formula>=AND(G30&lt;('تنظیمات'!$C$5+168),H30&gt;('تنظیمات'!$C$5+161),F30&gt;0)</formula>
    </cfRule>
  </conditionalFormatting>
  <conditionalFormatting sqref="AH30">
    <cfRule type="expression" priority="745" dxfId="2">
      <formula>=AND(G30&lt;('تنظیمات'!$C$5+175),H30&gt;('تنظیمات'!$C$5+168),F30&gt;0)</formula>
    </cfRule>
  </conditionalFormatting>
  <conditionalFormatting sqref="AI30">
    <cfRule type="expression" priority="746" dxfId="2">
      <formula>=AND(G30&lt;('تنظیمات'!$C$5+182),H30&gt;('تنظیمات'!$C$5+175),F30&gt;0)</formula>
    </cfRule>
  </conditionalFormatting>
  <conditionalFormatting sqref="AJ30">
    <cfRule type="expression" priority="747" dxfId="2">
      <formula>=AND(G30&lt;('تنظیمات'!$C$5+189),H30&gt;('تنظیمات'!$C$5+182),F30&gt;0)</formula>
    </cfRule>
  </conditionalFormatting>
  <conditionalFormatting sqref="AK30">
    <cfRule type="expression" priority="748" dxfId="2">
      <formula>=AND(G30&lt;('تنظیمات'!$C$5+196),H30&gt;('تنظیمات'!$C$5+189),F30&gt;0)</formula>
    </cfRule>
  </conditionalFormatting>
  <conditionalFormatting sqref="AL30">
    <cfRule type="expression" priority="749" dxfId="2">
      <formula>=AND(G30&lt;('تنظیمات'!$C$5+203),H30&gt;('تنظیمات'!$C$5+196),F30&gt;0)</formula>
    </cfRule>
  </conditionalFormatting>
  <conditionalFormatting sqref="AM30">
    <cfRule type="expression" priority="750" dxfId="2">
      <formula>=AND(G30&lt;('تنظیمات'!$C$5+210),H30&gt;('تنظیمات'!$C$5+203),F30&gt;0)</formula>
    </cfRule>
  </conditionalFormatting>
  <conditionalFormatting sqref="J31">
    <cfRule type="expression" priority="751" dxfId="2">
      <formula>=AND(G31&lt;('تنظیمات'!$C$5+7),H31&gt;('تنظیمات'!$C$5+0),F31&gt;0)</formula>
    </cfRule>
  </conditionalFormatting>
  <conditionalFormatting sqref="K31">
    <cfRule type="expression" priority="752" dxfId="2">
      <formula>=AND(G31&lt;('تنظیمات'!$C$5+14),H31&gt;('تنظیمات'!$C$5+7),F31&gt;0)</formula>
    </cfRule>
  </conditionalFormatting>
  <conditionalFormatting sqref="L31">
    <cfRule type="expression" priority="753" dxfId="2">
      <formula>=AND(G31&lt;('تنظیمات'!$C$5+21),H31&gt;('تنظیمات'!$C$5+14),F31&gt;0)</formula>
    </cfRule>
  </conditionalFormatting>
  <conditionalFormatting sqref="M31">
    <cfRule type="expression" priority="754" dxfId="2">
      <formula>=AND(G31&lt;('تنظیمات'!$C$5+28),H31&gt;('تنظیمات'!$C$5+21),F31&gt;0)</formula>
    </cfRule>
  </conditionalFormatting>
  <conditionalFormatting sqref="N31">
    <cfRule type="expression" priority="755" dxfId="2">
      <formula>=AND(G31&lt;('تنظیمات'!$C$5+35),H31&gt;('تنظیمات'!$C$5+28),F31&gt;0)</formula>
    </cfRule>
  </conditionalFormatting>
  <conditionalFormatting sqref="O31">
    <cfRule type="expression" priority="756" dxfId="2">
      <formula>=AND(G31&lt;('تنظیمات'!$C$5+42),H31&gt;('تنظیمات'!$C$5+35),F31&gt;0)</formula>
    </cfRule>
  </conditionalFormatting>
  <conditionalFormatting sqref="P31">
    <cfRule type="expression" priority="757" dxfId="2">
      <formula>=AND(G31&lt;('تنظیمات'!$C$5+49),H31&gt;('تنظیمات'!$C$5+42),F31&gt;0)</formula>
    </cfRule>
  </conditionalFormatting>
  <conditionalFormatting sqref="Q31">
    <cfRule type="expression" priority="758" dxfId="2">
      <formula>=AND(G31&lt;('تنظیمات'!$C$5+56),H31&gt;('تنظیمات'!$C$5+49),F31&gt;0)</formula>
    </cfRule>
  </conditionalFormatting>
  <conditionalFormatting sqref="R31">
    <cfRule type="expression" priority="759" dxfId="2">
      <formula>=AND(G31&lt;('تنظیمات'!$C$5+63),H31&gt;('تنظیمات'!$C$5+56),F31&gt;0)</formula>
    </cfRule>
  </conditionalFormatting>
  <conditionalFormatting sqref="S31">
    <cfRule type="expression" priority="760" dxfId="2">
      <formula>=AND(G31&lt;('تنظیمات'!$C$5+70),H31&gt;('تنظیمات'!$C$5+63),F31&gt;0)</formula>
    </cfRule>
  </conditionalFormatting>
  <conditionalFormatting sqref="T31">
    <cfRule type="expression" priority="761" dxfId="2">
      <formula>=AND(G31&lt;('تنظیمات'!$C$5+77),H31&gt;('تنظیمات'!$C$5+70),F31&gt;0)</formula>
    </cfRule>
  </conditionalFormatting>
  <conditionalFormatting sqref="U31">
    <cfRule type="expression" priority="762" dxfId="2">
      <formula>=AND(G31&lt;('تنظیمات'!$C$5+84),H31&gt;('تنظیمات'!$C$5+77),F31&gt;0)</formula>
    </cfRule>
  </conditionalFormatting>
  <conditionalFormatting sqref="V31">
    <cfRule type="expression" priority="763" dxfId="2">
      <formula>=AND(G31&lt;('تنظیمات'!$C$5+91),H31&gt;('تنظیمات'!$C$5+84),F31&gt;0)</formula>
    </cfRule>
  </conditionalFormatting>
  <conditionalFormatting sqref="W31">
    <cfRule type="expression" priority="764" dxfId="2">
      <formula>=AND(G31&lt;('تنظیمات'!$C$5+98),H31&gt;('تنظیمات'!$C$5+91),F31&gt;0)</formula>
    </cfRule>
  </conditionalFormatting>
  <conditionalFormatting sqref="X31">
    <cfRule type="expression" priority="765" dxfId="2">
      <formula>=AND(G31&lt;('تنظیمات'!$C$5+105),H31&gt;('تنظیمات'!$C$5+98),F31&gt;0)</formula>
    </cfRule>
  </conditionalFormatting>
  <conditionalFormatting sqref="Y31">
    <cfRule type="expression" priority="766" dxfId="2">
      <formula>=AND(G31&lt;('تنظیمات'!$C$5+112),H31&gt;('تنظیمات'!$C$5+105),F31&gt;0)</formula>
    </cfRule>
  </conditionalFormatting>
  <conditionalFormatting sqref="Z31">
    <cfRule type="expression" priority="767" dxfId="2">
      <formula>=AND(G31&lt;('تنظیمات'!$C$5+119),H31&gt;('تنظیمات'!$C$5+112),F31&gt;0)</formula>
    </cfRule>
  </conditionalFormatting>
  <conditionalFormatting sqref="AA31">
    <cfRule type="expression" priority="768" dxfId="2">
      <formula>=AND(G31&lt;('تنظیمات'!$C$5+126),H31&gt;('تنظیمات'!$C$5+119),F31&gt;0)</formula>
    </cfRule>
  </conditionalFormatting>
  <conditionalFormatting sqref="AB31">
    <cfRule type="expression" priority="769" dxfId="2">
      <formula>=AND(G31&lt;('تنظیمات'!$C$5+133),H31&gt;('تنظیمات'!$C$5+126),F31&gt;0)</formula>
    </cfRule>
  </conditionalFormatting>
  <conditionalFormatting sqref="AC31">
    <cfRule type="expression" priority="770" dxfId="2">
      <formula>=AND(G31&lt;('تنظیمات'!$C$5+140),H31&gt;('تنظیمات'!$C$5+133),F31&gt;0)</formula>
    </cfRule>
  </conditionalFormatting>
  <conditionalFormatting sqref="AD31">
    <cfRule type="expression" priority="771" dxfId="2">
      <formula>=AND(G31&lt;('تنظیمات'!$C$5+147),H31&gt;('تنظیمات'!$C$5+140),F31&gt;0)</formula>
    </cfRule>
  </conditionalFormatting>
  <conditionalFormatting sqref="AE31">
    <cfRule type="expression" priority="772" dxfId="2">
      <formula>=AND(G31&lt;('تنظیمات'!$C$5+154),H31&gt;('تنظیمات'!$C$5+147),F31&gt;0)</formula>
    </cfRule>
  </conditionalFormatting>
  <conditionalFormatting sqref="AF31">
    <cfRule type="expression" priority="773" dxfId="2">
      <formula>=AND(G31&lt;('تنظیمات'!$C$5+161),H31&gt;('تنظیمات'!$C$5+154),F31&gt;0)</formula>
    </cfRule>
  </conditionalFormatting>
  <conditionalFormatting sqref="AG31">
    <cfRule type="expression" priority="774" dxfId="2">
      <formula>=AND(G31&lt;('تنظیمات'!$C$5+168),H31&gt;('تنظیمات'!$C$5+161),F31&gt;0)</formula>
    </cfRule>
  </conditionalFormatting>
  <conditionalFormatting sqref="AH31">
    <cfRule type="expression" priority="775" dxfId="2">
      <formula>=AND(G31&lt;('تنظیمات'!$C$5+175),H31&gt;('تنظیمات'!$C$5+168),F31&gt;0)</formula>
    </cfRule>
  </conditionalFormatting>
  <conditionalFormatting sqref="AI31">
    <cfRule type="expression" priority="776" dxfId="2">
      <formula>=AND(G31&lt;('تنظیمات'!$C$5+182),H31&gt;('تنظیمات'!$C$5+175),F31&gt;0)</formula>
    </cfRule>
  </conditionalFormatting>
  <conditionalFormatting sqref="AJ31">
    <cfRule type="expression" priority="777" dxfId="2">
      <formula>=AND(G31&lt;('تنظیمات'!$C$5+189),H31&gt;('تنظیمات'!$C$5+182),F31&gt;0)</formula>
    </cfRule>
  </conditionalFormatting>
  <conditionalFormatting sqref="AK31">
    <cfRule type="expression" priority="778" dxfId="2">
      <formula>=AND(G31&lt;('تنظیمات'!$C$5+196),H31&gt;('تنظیمات'!$C$5+189),F31&gt;0)</formula>
    </cfRule>
  </conditionalFormatting>
  <conditionalFormatting sqref="AL31">
    <cfRule type="expression" priority="779" dxfId="2">
      <formula>=AND(G31&lt;('تنظیمات'!$C$5+203),H31&gt;('تنظیمات'!$C$5+196),F31&gt;0)</formula>
    </cfRule>
  </conditionalFormatting>
  <conditionalFormatting sqref="AM31">
    <cfRule type="expression" priority="780" dxfId="2">
      <formula>=AND(G31&lt;('تنظیمات'!$C$5+210),H31&gt;('تنظیمات'!$C$5+203),F31&gt;0)</formula>
    </cfRule>
  </conditionalFormatting>
  <conditionalFormatting sqref="J32">
    <cfRule type="expression" priority="781" dxfId="2">
      <formula>=AND(G32&lt;('تنظیمات'!$C$5+7),H32&gt;('تنظیمات'!$C$5+0),F32&gt;0)</formula>
    </cfRule>
  </conditionalFormatting>
  <conditionalFormatting sqref="K32">
    <cfRule type="expression" priority="782" dxfId="2">
      <formula>=AND(G32&lt;('تنظیمات'!$C$5+14),H32&gt;('تنظیمات'!$C$5+7),F32&gt;0)</formula>
    </cfRule>
  </conditionalFormatting>
  <conditionalFormatting sqref="L32">
    <cfRule type="expression" priority="783" dxfId="2">
      <formula>=AND(G32&lt;('تنظیمات'!$C$5+21),H32&gt;('تنظیمات'!$C$5+14),F32&gt;0)</formula>
    </cfRule>
  </conditionalFormatting>
  <conditionalFormatting sqref="M32">
    <cfRule type="expression" priority="784" dxfId="2">
      <formula>=AND(G32&lt;('تنظیمات'!$C$5+28),H32&gt;('تنظیمات'!$C$5+21),F32&gt;0)</formula>
    </cfRule>
  </conditionalFormatting>
  <conditionalFormatting sqref="N32">
    <cfRule type="expression" priority="785" dxfId="2">
      <formula>=AND(G32&lt;('تنظیمات'!$C$5+35),H32&gt;('تنظیمات'!$C$5+28),F32&gt;0)</formula>
    </cfRule>
  </conditionalFormatting>
  <conditionalFormatting sqref="O32">
    <cfRule type="expression" priority="786" dxfId="2">
      <formula>=AND(G32&lt;('تنظیمات'!$C$5+42),H32&gt;('تنظیمات'!$C$5+35),F32&gt;0)</formula>
    </cfRule>
  </conditionalFormatting>
  <conditionalFormatting sqref="P32">
    <cfRule type="expression" priority="787" dxfId="2">
      <formula>=AND(G32&lt;('تنظیمات'!$C$5+49),H32&gt;('تنظیمات'!$C$5+42),F32&gt;0)</formula>
    </cfRule>
  </conditionalFormatting>
  <conditionalFormatting sqref="Q32">
    <cfRule type="expression" priority="788" dxfId="2">
      <formula>=AND(G32&lt;('تنظیمات'!$C$5+56),H32&gt;('تنظیمات'!$C$5+49),F32&gt;0)</formula>
    </cfRule>
  </conditionalFormatting>
  <conditionalFormatting sqref="R32">
    <cfRule type="expression" priority="789" dxfId="2">
      <formula>=AND(G32&lt;('تنظیمات'!$C$5+63),H32&gt;('تنظیمات'!$C$5+56),F32&gt;0)</formula>
    </cfRule>
  </conditionalFormatting>
  <conditionalFormatting sqref="S32">
    <cfRule type="expression" priority="790" dxfId="2">
      <formula>=AND(G32&lt;('تنظیمات'!$C$5+70),H32&gt;('تنظیمات'!$C$5+63),F32&gt;0)</formula>
    </cfRule>
  </conditionalFormatting>
  <conditionalFormatting sqref="T32">
    <cfRule type="expression" priority="791" dxfId="2">
      <formula>=AND(G32&lt;('تنظیمات'!$C$5+77),H32&gt;('تنظیمات'!$C$5+70),F32&gt;0)</formula>
    </cfRule>
  </conditionalFormatting>
  <conditionalFormatting sqref="U32">
    <cfRule type="expression" priority="792" dxfId="2">
      <formula>=AND(G32&lt;('تنظیمات'!$C$5+84),H32&gt;('تنظیمات'!$C$5+77),F32&gt;0)</formula>
    </cfRule>
  </conditionalFormatting>
  <conditionalFormatting sqref="V32">
    <cfRule type="expression" priority="793" dxfId="2">
      <formula>=AND(G32&lt;('تنظیمات'!$C$5+91),H32&gt;('تنظیمات'!$C$5+84),F32&gt;0)</formula>
    </cfRule>
  </conditionalFormatting>
  <conditionalFormatting sqref="W32">
    <cfRule type="expression" priority="794" dxfId="2">
      <formula>=AND(G32&lt;('تنظیمات'!$C$5+98),H32&gt;('تنظیمات'!$C$5+91),F32&gt;0)</formula>
    </cfRule>
  </conditionalFormatting>
  <conditionalFormatting sqref="X32">
    <cfRule type="expression" priority="795" dxfId="2">
      <formula>=AND(G32&lt;('تنظیمات'!$C$5+105),H32&gt;('تنظیمات'!$C$5+98),F32&gt;0)</formula>
    </cfRule>
  </conditionalFormatting>
  <conditionalFormatting sqref="Y32">
    <cfRule type="expression" priority="796" dxfId="2">
      <formula>=AND(G32&lt;('تنظیمات'!$C$5+112),H32&gt;('تنظیمات'!$C$5+105),F32&gt;0)</formula>
    </cfRule>
  </conditionalFormatting>
  <conditionalFormatting sqref="Z32">
    <cfRule type="expression" priority="797" dxfId="2">
      <formula>=AND(G32&lt;('تنظیمات'!$C$5+119),H32&gt;('تنظیمات'!$C$5+112),F32&gt;0)</formula>
    </cfRule>
  </conditionalFormatting>
  <conditionalFormatting sqref="AA32">
    <cfRule type="expression" priority="798" dxfId="2">
      <formula>=AND(G32&lt;('تنظیمات'!$C$5+126),H32&gt;('تنظیمات'!$C$5+119),F32&gt;0)</formula>
    </cfRule>
  </conditionalFormatting>
  <conditionalFormatting sqref="AB32">
    <cfRule type="expression" priority="799" dxfId="2">
      <formula>=AND(G32&lt;('تنظیمات'!$C$5+133),H32&gt;('تنظیمات'!$C$5+126),F32&gt;0)</formula>
    </cfRule>
  </conditionalFormatting>
  <conditionalFormatting sqref="AC32">
    <cfRule type="expression" priority="800" dxfId="2">
      <formula>=AND(G32&lt;('تنظیمات'!$C$5+140),H32&gt;('تنظیمات'!$C$5+133),F32&gt;0)</formula>
    </cfRule>
  </conditionalFormatting>
  <conditionalFormatting sqref="AD32">
    <cfRule type="expression" priority="801" dxfId="2">
      <formula>=AND(G32&lt;('تنظیمات'!$C$5+147),H32&gt;('تنظیمات'!$C$5+140),F32&gt;0)</formula>
    </cfRule>
  </conditionalFormatting>
  <conditionalFormatting sqref="AE32">
    <cfRule type="expression" priority="802" dxfId="2">
      <formula>=AND(G32&lt;('تنظیمات'!$C$5+154),H32&gt;('تنظیمات'!$C$5+147),F32&gt;0)</formula>
    </cfRule>
  </conditionalFormatting>
  <conditionalFormatting sqref="AF32">
    <cfRule type="expression" priority="803" dxfId="2">
      <formula>=AND(G32&lt;('تنظیمات'!$C$5+161),H32&gt;('تنظیمات'!$C$5+154),F32&gt;0)</formula>
    </cfRule>
  </conditionalFormatting>
  <conditionalFormatting sqref="AG32">
    <cfRule type="expression" priority="804" dxfId="2">
      <formula>=AND(G32&lt;('تنظیمات'!$C$5+168),H32&gt;('تنظیمات'!$C$5+161),F32&gt;0)</formula>
    </cfRule>
  </conditionalFormatting>
  <conditionalFormatting sqref="AH32">
    <cfRule type="expression" priority="805" dxfId="2">
      <formula>=AND(G32&lt;('تنظیمات'!$C$5+175),H32&gt;('تنظیمات'!$C$5+168),F32&gt;0)</formula>
    </cfRule>
  </conditionalFormatting>
  <conditionalFormatting sqref="AI32">
    <cfRule type="expression" priority="806" dxfId="2">
      <formula>=AND(G32&lt;('تنظیمات'!$C$5+182),H32&gt;('تنظیمات'!$C$5+175),F32&gt;0)</formula>
    </cfRule>
  </conditionalFormatting>
  <conditionalFormatting sqref="AJ32">
    <cfRule type="expression" priority="807" dxfId="2">
      <formula>=AND(G32&lt;('تنظیمات'!$C$5+189),H32&gt;('تنظیمات'!$C$5+182),F32&gt;0)</formula>
    </cfRule>
  </conditionalFormatting>
  <conditionalFormatting sqref="AK32">
    <cfRule type="expression" priority="808" dxfId="2">
      <formula>=AND(G32&lt;('تنظیمات'!$C$5+196),H32&gt;('تنظیمات'!$C$5+189),F32&gt;0)</formula>
    </cfRule>
  </conditionalFormatting>
  <conditionalFormatting sqref="AL32">
    <cfRule type="expression" priority="809" dxfId="2">
      <formula>=AND(G32&lt;('تنظیمات'!$C$5+203),H32&gt;('تنظیمات'!$C$5+196),F32&gt;0)</formula>
    </cfRule>
  </conditionalFormatting>
  <conditionalFormatting sqref="AM32">
    <cfRule type="expression" priority="810" dxfId="2">
      <formula>=AND(G32&lt;('تنظیمات'!$C$5+210),H32&gt;('تنظیمات'!$C$5+203),F32&gt;0)</formula>
    </cfRule>
  </conditionalFormatting>
  <conditionalFormatting sqref="J33">
    <cfRule type="expression" priority="811" dxfId="2">
      <formula>=AND(G33&lt;('تنظیمات'!$C$5+7),H33&gt;('تنظیمات'!$C$5+0),F33&gt;0)</formula>
    </cfRule>
  </conditionalFormatting>
  <conditionalFormatting sqref="K33">
    <cfRule type="expression" priority="812" dxfId="2">
      <formula>=AND(G33&lt;('تنظیمات'!$C$5+14),H33&gt;('تنظیمات'!$C$5+7),F33&gt;0)</formula>
    </cfRule>
  </conditionalFormatting>
  <conditionalFormatting sqref="L33">
    <cfRule type="expression" priority="813" dxfId="2">
      <formula>=AND(G33&lt;('تنظیمات'!$C$5+21),H33&gt;('تنظیمات'!$C$5+14),F33&gt;0)</formula>
    </cfRule>
  </conditionalFormatting>
  <conditionalFormatting sqref="M33">
    <cfRule type="expression" priority="814" dxfId="2">
      <formula>=AND(G33&lt;('تنظیمات'!$C$5+28),H33&gt;('تنظیمات'!$C$5+21),F33&gt;0)</formula>
    </cfRule>
  </conditionalFormatting>
  <conditionalFormatting sqref="N33">
    <cfRule type="expression" priority="815" dxfId="2">
      <formula>=AND(G33&lt;('تنظیمات'!$C$5+35),H33&gt;('تنظیمات'!$C$5+28),F33&gt;0)</formula>
    </cfRule>
  </conditionalFormatting>
  <conditionalFormatting sqref="O33">
    <cfRule type="expression" priority="816" dxfId="2">
      <formula>=AND(G33&lt;('تنظیمات'!$C$5+42),H33&gt;('تنظیمات'!$C$5+35),F33&gt;0)</formula>
    </cfRule>
  </conditionalFormatting>
  <conditionalFormatting sqref="P33">
    <cfRule type="expression" priority="817" dxfId="2">
      <formula>=AND(G33&lt;('تنظیمات'!$C$5+49),H33&gt;('تنظیمات'!$C$5+42),F33&gt;0)</formula>
    </cfRule>
  </conditionalFormatting>
  <conditionalFormatting sqref="Q33">
    <cfRule type="expression" priority="818" dxfId="2">
      <formula>=AND(G33&lt;('تنظیمات'!$C$5+56),H33&gt;('تنظیمات'!$C$5+49),F33&gt;0)</formula>
    </cfRule>
  </conditionalFormatting>
  <conditionalFormatting sqref="R33">
    <cfRule type="expression" priority="819" dxfId="2">
      <formula>=AND(G33&lt;('تنظیمات'!$C$5+63),H33&gt;('تنظیمات'!$C$5+56),F33&gt;0)</formula>
    </cfRule>
  </conditionalFormatting>
  <conditionalFormatting sqref="S33">
    <cfRule type="expression" priority="820" dxfId="2">
      <formula>=AND(G33&lt;('تنظیمات'!$C$5+70),H33&gt;('تنظیمات'!$C$5+63),F33&gt;0)</formula>
    </cfRule>
  </conditionalFormatting>
  <conditionalFormatting sqref="T33">
    <cfRule type="expression" priority="821" dxfId="2">
      <formula>=AND(G33&lt;('تنظیمات'!$C$5+77),H33&gt;('تنظیمات'!$C$5+70),F33&gt;0)</formula>
    </cfRule>
  </conditionalFormatting>
  <conditionalFormatting sqref="U33">
    <cfRule type="expression" priority="822" dxfId="2">
      <formula>=AND(G33&lt;('تنظیمات'!$C$5+84),H33&gt;('تنظیمات'!$C$5+77),F33&gt;0)</formula>
    </cfRule>
  </conditionalFormatting>
  <conditionalFormatting sqref="V33">
    <cfRule type="expression" priority="823" dxfId="2">
      <formula>=AND(G33&lt;('تنظیمات'!$C$5+91),H33&gt;('تنظیمات'!$C$5+84),F33&gt;0)</formula>
    </cfRule>
  </conditionalFormatting>
  <conditionalFormatting sqref="W33">
    <cfRule type="expression" priority="824" dxfId="2">
      <formula>=AND(G33&lt;('تنظیمات'!$C$5+98),H33&gt;('تنظیمات'!$C$5+91),F33&gt;0)</formula>
    </cfRule>
  </conditionalFormatting>
  <conditionalFormatting sqref="X33">
    <cfRule type="expression" priority="825" dxfId="2">
      <formula>=AND(G33&lt;('تنظیمات'!$C$5+105),H33&gt;('تنظیمات'!$C$5+98),F33&gt;0)</formula>
    </cfRule>
  </conditionalFormatting>
  <conditionalFormatting sqref="Y33">
    <cfRule type="expression" priority="826" dxfId="2">
      <formula>=AND(G33&lt;('تنظیمات'!$C$5+112),H33&gt;('تنظیمات'!$C$5+105),F33&gt;0)</formula>
    </cfRule>
  </conditionalFormatting>
  <conditionalFormatting sqref="Z33">
    <cfRule type="expression" priority="827" dxfId="2">
      <formula>=AND(G33&lt;('تنظیمات'!$C$5+119),H33&gt;('تنظیمات'!$C$5+112),F33&gt;0)</formula>
    </cfRule>
  </conditionalFormatting>
  <conditionalFormatting sqref="AA33">
    <cfRule type="expression" priority="828" dxfId="2">
      <formula>=AND(G33&lt;('تنظیمات'!$C$5+126),H33&gt;('تنظیمات'!$C$5+119),F33&gt;0)</formula>
    </cfRule>
  </conditionalFormatting>
  <conditionalFormatting sqref="AB33">
    <cfRule type="expression" priority="829" dxfId="2">
      <formula>=AND(G33&lt;('تنظیمات'!$C$5+133),H33&gt;('تنظیمات'!$C$5+126),F33&gt;0)</formula>
    </cfRule>
  </conditionalFormatting>
  <conditionalFormatting sqref="AC33">
    <cfRule type="expression" priority="830" dxfId="2">
      <formula>=AND(G33&lt;('تنظیمات'!$C$5+140),H33&gt;('تنظیمات'!$C$5+133),F33&gt;0)</formula>
    </cfRule>
  </conditionalFormatting>
  <conditionalFormatting sqref="AD33">
    <cfRule type="expression" priority="831" dxfId="2">
      <formula>=AND(G33&lt;('تنظیمات'!$C$5+147),H33&gt;('تنظیمات'!$C$5+140),F33&gt;0)</formula>
    </cfRule>
  </conditionalFormatting>
  <conditionalFormatting sqref="AE33">
    <cfRule type="expression" priority="832" dxfId="2">
      <formula>=AND(G33&lt;('تنظیمات'!$C$5+154),H33&gt;('تنظیمات'!$C$5+147),F33&gt;0)</formula>
    </cfRule>
  </conditionalFormatting>
  <conditionalFormatting sqref="AF33">
    <cfRule type="expression" priority="833" dxfId="2">
      <formula>=AND(G33&lt;('تنظیمات'!$C$5+161),H33&gt;('تنظیمات'!$C$5+154),F33&gt;0)</formula>
    </cfRule>
  </conditionalFormatting>
  <conditionalFormatting sqref="AG33">
    <cfRule type="expression" priority="834" dxfId="2">
      <formula>=AND(G33&lt;('تنظیمات'!$C$5+168),H33&gt;('تنظیمات'!$C$5+161),F33&gt;0)</formula>
    </cfRule>
  </conditionalFormatting>
  <conditionalFormatting sqref="AH33">
    <cfRule type="expression" priority="835" dxfId="2">
      <formula>=AND(G33&lt;('تنظیمات'!$C$5+175),H33&gt;('تنظیمات'!$C$5+168),F33&gt;0)</formula>
    </cfRule>
  </conditionalFormatting>
  <conditionalFormatting sqref="AI33">
    <cfRule type="expression" priority="836" dxfId="2">
      <formula>=AND(G33&lt;('تنظیمات'!$C$5+182),H33&gt;('تنظیمات'!$C$5+175),F33&gt;0)</formula>
    </cfRule>
  </conditionalFormatting>
  <conditionalFormatting sqref="AJ33">
    <cfRule type="expression" priority="837" dxfId="2">
      <formula>=AND(G33&lt;('تنظیمات'!$C$5+189),H33&gt;('تنظیمات'!$C$5+182),F33&gt;0)</formula>
    </cfRule>
  </conditionalFormatting>
  <conditionalFormatting sqref="AK33">
    <cfRule type="expression" priority="838" dxfId="2">
      <formula>=AND(G33&lt;('تنظیمات'!$C$5+196),H33&gt;('تنظیمات'!$C$5+189),F33&gt;0)</formula>
    </cfRule>
  </conditionalFormatting>
  <conditionalFormatting sqref="AL33">
    <cfRule type="expression" priority="839" dxfId="2">
      <formula>=AND(G33&lt;('تنظیمات'!$C$5+203),H33&gt;('تنظیمات'!$C$5+196),F33&gt;0)</formula>
    </cfRule>
  </conditionalFormatting>
  <conditionalFormatting sqref="AM33">
    <cfRule type="expression" priority="840" dxfId="2">
      <formula>=AND(G33&lt;('تنظیمات'!$C$5+210),H33&gt;('تنظیمات'!$C$5+203),F33&gt;0)</formula>
    </cfRule>
  </conditionalFormatting>
  <conditionalFormatting sqref="J34">
    <cfRule type="expression" priority="841" dxfId="2">
      <formula>=AND(G34&lt;('تنظیمات'!$C$5+7),H34&gt;('تنظیمات'!$C$5+0),F34&gt;0)</formula>
    </cfRule>
  </conditionalFormatting>
  <conditionalFormatting sqref="K34">
    <cfRule type="expression" priority="842" dxfId="2">
      <formula>=AND(G34&lt;('تنظیمات'!$C$5+14),H34&gt;('تنظیمات'!$C$5+7),F34&gt;0)</formula>
    </cfRule>
  </conditionalFormatting>
  <conditionalFormatting sqref="L34">
    <cfRule type="expression" priority="843" dxfId="2">
      <formula>=AND(G34&lt;('تنظیمات'!$C$5+21),H34&gt;('تنظیمات'!$C$5+14),F34&gt;0)</formula>
    </cfRule>
  </conditionalFormatting>
  <conditionalFormatting sqref="M34">
    <cfRule type="expression" priority="844" dxfId="2">
      <formula>=AND(G34&lt;('تنظیمات'!$C$5+28),H34&gt;('تنظیمات'!$C$5+21),F34&gt;0)</formula>
    </cfRule>
  </conditionalFormatting>
  <conditionalFormatting sqref="N34">
    <cfRule type="expression" priority="845" dxfId="2">
      <formula>=AND(G34&lt;('تنظیمات'!$C$5+35),H34&gt;('تنظیمات'!$C$5+28),F34&gt;0)</formula>
    </cfRule>
  </conditionalFormatting>
  <conditionalFormatting sqref="O34">
    <cfRule type="expression" priority="846" dxfId="2">
      <formula>=AND(G34&lt;('تنظیمات'!$C$5+42),H34&gt;('تنظیمات'!$C$5+35),F34&gt;0)</formula>
    </cfRule>
  </conditionalFormatting>
  <conditionalFormatting sqref="P34">
    <cfRule type="expression" priority="847" dxfId="2">
      <formula>=AND(G34&lt;('تنظیمات'!$C$5+49),H34&gt;('تنظیمات'!$C$5+42),F34&gt;0)</formula>
    </cfRule>
  </conditionalFormatting>
  <conditionalFormatting sqref="Q34">
    <cfRule type="expression" priority="848" dxfId="2">
      <formula>=AND(G34&lt;('تنظیمات'!$C$5+56),H34&gt;('تنظیمات'!$C$5+49),F34&gt;0)</formula>
    </cfRule>
  </conditionalFormatting>
  <conditionalFormatting sqref="R34">
    <cfRule type="expression" priority="849" dxfId="2">
      <formula>=AND(G34&lt;('تنظیمات'!$C$5+63),H34&gt;('تنظیمات'!$C$5+56),F34&gt;0)</formula>
    </cfRule>
  </conditionalFormatting>
  <conditionalFormatting sqref="S34">
    <cfRule type="expression" priority="850" dxfId="2">
      <formula>=AND(G34&lt;('تنظیمات'!$C$5+70),H34&gt;('تنظیمات'!$C$5+63),F34&gt;0)</formula>
    </cfRule>
  </conditionalFormatting>
  <conditionalFormatting sqref="T34">
    <cfRule type="expression" priority="851" dxfId="2">
      <formula>=AND(G34&lt;('تنظیمات'!$C$5+77),H34&gt;('تنظیمات'!$C$5+70),F34&gt;0)</formula>
    </cfRule>
  </conditionalFormatting>
  <conditionalFormatting sqref="U34">
    <cfRule type="expression" priority="852" dxfId="2">
      <formula>=AND(G34&lt;('تنظیمات'!$C$5+84),H34&gt;('تنظیمات'!$C$5+77),F34&gt;0)</formula>
    </cfRule>
  </conditionalFormatting>
  <conditionalFormatting sqref="V34">
    <cfRule type="expression" priority="853" dxfId="2">
      <formula>=AND(G34&lt;('تنظیمات'!$C$5+91),H34&gt;('تنظیمات'!$C$5+84),F34&gt;0)</formula>
    </cfRule>
  </conditionalFormatting>
  <conditionalFormatting sqref="W34">
    <cfRule type="expression" priority="854" dxfId="2">
      <formula>=AND(G34&lt;('تنظیمات'!$C$5+98),H34&gt;('تنظیمات'!$C$5+91),F34&gt;0)</formula>
    </cfRule>
  </conditionalFormatting>
  <conditionalFormatting sqref="X34">
    <cfRule type="expression" priority="855" dxfId="2">
      <formula>=AND(G34&lt;('تنظیمات'!$C$5+105),H34&gt;('تنظیمات'!$C$5+98),F34&gt;0)</formula>
    </cfRule>
  </conditionalFormatting>
  <conditionalFormatting sqref="Y34">
    <cfRule type="expression" priority="856" dxfId="2">
      <formula>=AND(G34&lt;('تنظیمات'!$C$5+112),H34&gt;('تنظیمات'!$C$5+105),F34&gt;0)</formula>
    </cfRule>
  </conditionalFormatting>
  <conditionalFormatting sqref="Z34">
    <cfRule type="expression" priority="857" dxfId="2">
      <formula>=AND(G34&lt;('تنظیمات'!$C$5+119),H34&gt;('تنظیمات'!$C$5+112),F34&gt;0)</formula>
    </cfRule>
  </conditionalFormatting>
  <conditionalFormatting sqref="AA34">
    <cfRule type="expression" priority="858" dxfId="2">
      <formula>=AND(G34&lt;('تنظیمات'!$C$5+126),H34&gt;('تنظیمات'!$C$5+119),F34&gt;0)</formula>
    </cfRule>
  </conditionalFormatting>
  <conditionalFormatting sqref="AB34">
    <cfRule type="expression" priority="859" dxfId="2">
      <formula>=AND(G34&lt;('تنظیمات'!$C$5+133),H34&gt;('تنظیمات'!$C$5+126),F34&gt;0)</formula>
    </cfRule>
  </conditionalFormatting>
  <conditionalFormatting sqref="AC34">
    <cfRule type="expression" priority="860" dxfId="2">
      <formula>=AND(G34&lt;('تنظیمات'!$C$5+140),H34&gt;('تنظیمات'!$C$5+133),F34&gt;0)</formula>
    </cfRule>
  </conditionalFormatting>
  <conditionalFormatting sqref="AD34">
    <cfRule type="expression" priority="861" dxfId="2">
      <formula>=AND(G34&lt;('تنظیمات'!$C$5+147),H34&gt;('تنظیمات'!$C$5+140),F34&gt;0)</formula>
    </cfRule>
  </conditionalFormatting>
  <conditionalFormatting sqref="AE34">
    <cfRule type="expression" priority="862" dxfId="2">
      <formula>=AND(G34&lt;('تنظیمات'!$C$5+154),H34&gt;('تنظیمات'!$C$5+147),F34&gt;0)</formula>
    </cfRule>
  </conditionalFormatting>
  <conditionalFormatting sqref="AF34">
    <cfRule type="expression" priority="863" dxfId="2">
      <formula>=AND(G34&lt;('تنظیمات'!$C$5+161),H34&gt;('تنظیمات'!$C$5+154),F34&gt;0)</formula>
    </cfRule>
  </conditionalFormatting>
  <conditionalFormatting sqref="AG34">
    <cfRule type="expression" priority="864" dxfId="2">
      <formula>=AND(G34&lt;('تنظیمات'!$C$5+168),H34&gt;('تنظیمات'!$C$5+161),F34&gt;0)</formula>
    </cfRule>
  </conditionalFormatting>
  <conditionalFormatting sqref="AH34">
    <cfRule type="expression" priority="865" dxfId="2">
      <formula>=AND(G34&lt;('تنظیمات'!$C$5+175),H34&gt;('تنظیمات'!$C$5+168),F34&gt;0)</formula>
    </cfRule>
  </conditionalFormatting>
  <conditionalFormatting sqref="AI34">
    <cfRule type="expression" priority="866" dxfId="2">
      <formula>=AND(G34&lt;('تنظیمات'!$C$5+182),H34&gt;('تنظیمات'!$C$5+175),F34&gt;0)</formula>
    </cfRule>
  </conditionalFormatting>
  <conditionalFormatting sqref="AJ34">
    <cfRule type="expression" priority="867" dxfId="2">
      <formula>=AND(G34&lt;('تنظیمات'!$C$5+189),H34&gt;('تنظیمات'!$C$5+182),F34&gt;0)</formula>
    </cfRule>
  </conditionalFormatting>
  <conditionalFormatting sqref="AK34">
    <cfRule type="expression" priority="868" dxfId="2">
      <formula>=AND(G34&lt;('تنظیمات'!$C$5+196),H34&gt;('تنظیمات'!$C$5+189),F34&gt;0)</formula>
    </cfRule>
  </conditionalFormatting>
  <conditionalFormatting sqref="AL34">
    <cfRule type="expression" priority="869" dxfId="2">
      <formula>=AND(G34&lt;('تنظیمات'!$C$5+203),H34&gt;('تنظیمات'!$C$5+196),F34&gt;0)</formula>
    </cfRule>
  </conditionalFormatting>
  <conditionalFormatting sqref="AM34">
    <cfRule type="expression" priority="870" dxfId="2">
      <formula>=AND(G34&lt;('تنظیمات'!$C$5+210),H34&gt;('تنظیمات'!$C$5+203),F34&gt;0)</formula>
    </cfRule>
  </conditionalFormatting>
  <conditionalFormatting sqref="J35">
    <cfRule type="expression" priority="871" dxfId="2">
      <formula>=AND(G35&lt;('تنظیمات'!$C$5+7),H35&gt;('تنظیمات'!$C$5+0),F35&gt;0)</formula>
    </cfRule>
  </conditionalFormatting>
  <conditionalFormatting sqref="K35">
    <cfRule type="expression" priority="872" dxfId="2">
      <formula>=AND(G35&lt;('تنظیمات'!$C$5+14),H35&gt;('تنظیمات'!$C$5+7),F35&gt;0)</formula>
    </cfRule>
  </conditionalFormatting>
  <conditionalFormatting sqref="L35">
    <cfRule type="expression" priority="873" dxfId="2">
      <formula>=AND(G35&lt;('تنظیمات'!$C$5+21),H35&gt;('تنظیمات'!$C$5+14),F35&gt;0)</formula>
    </cfRule>
  </conditionalFormatting>
  <conditionalFormatting sqref="M35">
    <cfRule type="expression" priority="874" dxfId="2">
      <formula>=AND(G35&lt;('تنظیمات'!$C$5+28),H35&gt;('تنظیمات'!$C$5+21),F35&gt;0)</formula>
    </cfRule>
  </conditionalFormatting>
  <conditionalFormatting sqref="N35">
    <cfRule type="expression" priority="875" dxfId="2">
      <formula>=AND(G35&lt;('تنظیمات'!$C$5+35),H35&gt;('تنظیمات'!$C$5+28),F35&gt;0)</formula>
    </cfRule>
  </conditionalFormatting>
  <conditionalFormatting sqref="O35">
    <cfRule type="expression" priority="876" dxfId="2">
      <formula>=AND(G35&lt;('تنظیمات'!$C$5+42),H35&gt;('تنظیمات'!$C$5+35),F35&gt;0)</formula>
    </cfRule>
  </conditionalFormatting>
  <conditionalFormatting sqref="P35">
    <cfRule type="expression" priority="877" dxfId="2">
      <formula>=AND(G35&lt;('تنظیمات'!$C$5+49),H35&gt;('تنظیمات'!$C$5+42),F35&gt;0)</formula>
    </cfRule>
  </conditionalFormatting>
  <conditionalFormatting sqref="Q35">
    <cfRule type="expression" priority="878" dxfId="2">
      <formula>=AND(G35&lt;('تنظیمات'!$C$5+56),H35&gt;('تنظیمات'!$C$5+49),F35&gt;0)</formula>
    </cfRule>
  </conditionalFormatting>
  <conditionalFormatting sqref="R35">
    <cfRule type="expression" priority="879" dxfId="2">
      <formula>=AND(G35&lt;('تنظیمات'!$C$5+63),H35&gt;('تنظیمات'!$C$5+56),F35&gt;0)</formula>
    </cfRule>
  </conditionalFormatting>
  <conditionalFormatting sqref="S35">
    <cfRule type="expression" priority="880" dxfId="2">
      <formula>=AND(G35&lt;('تنظیمات'!$C$5+70),H35&gt;('تنظیمات'!$C$5+63),F35&gt;0)</formula>
    </cfRule>
  </conditionalFormatting>
  <conditionalFormatting sqref="T35">
    <cfRule type="expression" priority="881" dxfId="2">
      <formula>=AND(G35&lt;('تنظیمات'!$C$5+77),H35&gt;('تنظیمات'!$C$5+70),F35&gt;0)</formula>
    </cfRule>
  </conditionalFormatting>
  <conditionalFormatting sqref="U35">
    <cfRule type="expression" priority="882" dxfId="2">
      <formula>=AND(G35&lt;('تنظیمات'!$C$5+84),H35&gt;('تنظیمات'!$C$5+77),F35&gt;0)</formula>
    </cfRule>
  </conditionalFormatting>
  <conditionalFormatting sqref="V35">
    <cfRule type="expression" priority="883" dxfId="2">
      <formula>=AND(G35&lt;('تنظیمات'!$C$5+91),H35&gt;('تنظیمات'!$C$5+84),F35&gt;0)</formula>
    </cfRule>
  </conditionalFormatting>
  <conditionalFormatting sqref="W35">
    <cfRule type="expression" priority="884" dxfId="2">
      <formula>=AND(G35&lt;('تنظیمات'!$C$5+98),H35&gt;('تنظیمات'!$C$5+91),F35&gt;0)</formula>
    </cfRule>
  </conditionalFormatting>
  <conditionalFormatting sqref="X35">
    <cfRule type="expression" priority="885" dxfId="2">
      <formula>=AND(G35&lt;('تنظیمات'!$C$5+105),H35&gt;('تنظیمات'!$C$5+98),F35&gt;0)</formula>
    </cfRule>
  </conditionalFormatting>
  <conditionalFormatting sqref="Y35">
    <cfRule type="expression" priority="886" dxfId="2">
      <formula>=AND(G35&lt;('تنظیمات'!$C$5+112),H35&gt;('تنظیمات'!$C$5+105),F35&gt;0)</formula>
    </cfRule>
  </conditionalFormatting>
  <conditionalFormatting sqref="Z35">
    <cfRule type="expression" priority="887" dxfId="2">
      <formula>=AND(G35&lt;('تنظیمات'!$C$5+119),H35&gt;('تنظیمات'!$C$5+112),F35&gt;0)</formula>
    </cfRule>
  </conditionalFormatting>
  <conditionalFormatting sqref="AA35">
    <cfRule type="expression" priority="888" dxfId="2">
      <formula>=AND(G35&lt;('تنظیمات'!$C$5+126),H35&gt;('تنظیمات'!$C$5+119),F35&gt;0)</formula>
    </cfRule>
  </conditionalFormatting>
  <conditionalFormatting sqref="AB35">
    <cfRule type="expression" priority="889" dxfId="2">
      <formula>=AND(G35&lt;('تنظیمات'!$C$5+133),H35&gt;('تنظیمات'!$C$5+126),F35&gt;0)</formula>
    </cfRule>
  </conditionalFormatting>
  <conditionalFormatting sqref="AC35">
    <cfRule type="expression" priority="890" dxfId="2">
      <formula>=AND(G35&lt;('تنظیمات'!$C$5+140),H35&gt;('تنظیمات'!$C$5+133),F35&gt;0)</formula>
    </cfRule>
  </conditionalFormatting>
  <conditionalFormatting sqref="AD35">
    <cfRule type="expression" priority="891" dxfId="2">
      <formula>=AND(G35&lt;('تنظیمات'!$C$5+147),H35&gt;('تنظیمات'!$C$5+140),F35&gt;0)</formula>
    </cfRule>
  </conditionalFormatting>
  <conditionalFormatting sqref="AE35">
    <cfRule type="expression" priority="892" dxfId="2">
      <formula>=AND(G35&lt;('تنظیمات'!$C$5+154),H35&gt;('تنظیمات'!$C$5+147),F35&gt;0)</formula>
    </cfRule>
  </conditionalFormatting>
  <conditionalFormatting sqref="AF35">
    <cfRule type="expression" priority="893" dxfId="2">
      <formula>=AND(G35&lt;('تنظیمات'!$C$5+161),H35&gt;('تنظیمات'!$C$5+154),F35&gt;0)</formula>
    </cfRule>
  </conditionalFormatting>
  <conditionalFormatting sqref="AG35">
    <cfRule type="expression" priority="894" dxfId="2">
      <formula>=AND(G35&lt;('تنظیمات'!$C$5+168),H35&gt;('تنظیمات'!$C$5+161),F35&gt;0)</formula>
    </cfRule>
  </conditionalFormatting>
  <conditionalFormatting sqref="AH35">
    <cfRule type="expression" priority="895" dxfId="2">
      <formula>=AND(G35&lt;('تنظیمات'!$C$5+175),H35&gt;('تنظیمات'!$C$5+168),F35&gt;0)</formula>
    </cfRule>
  </conditionalFormatting>
  <conditionalFormatting sqref="AI35">
    <cfRule type="expression" priority="896" dxfId="2">
      <formula>=AND(G35&lt;('تنظیمات'!$C$5+182),H35&gt;('تنظیمات'!$C$5+175),F35&gt;0)</formula>
    </cfRule>
  </conditionalFormatting>
  <conditionalFormatting sqref="AJ35">
    <cfRule type="expression" priority="897" dxfId="2">
      <formula>=AND(G35&lt;('تنظیمات'!$C$5+189),H35&gt;('تنظیمات'!$C$5+182),F35&gt;0)</formula>
    </cfRule>
  </conditionalFormatting>
  <conditionalFormatting sqref="AK35">
    <cfRule type="expression" priority="898" dxfId="2">
      <formula>=AND(G35&lt;('تنظیمات'!$C$5+196),H35&gt;('تنظیمات'!$C$5+189),F35&gt;0)</formula>
    </cfRule>
  </conditionalFormatting>
  <conditionalFormatting sqref="AL35">
    <cfRule type="expression" priority="899" dxfId="2">
      <formula>=AND(G35&lt;('تنظیمات'!$C$5+203),H35&gt;('تنظیمات'!$C$5+196),F35&gt;0)</formula>
    </cfRule>
  </conditionalFormatting>
  <conditionalFormatting sqref="AM35">
    <cfRule type="expression" priority="900" dxfId="2">
      <formula>=AND(G35&lt;('تنظیمات'!$C$5+210),H35&gt;('تنظیمات'!$C$5+203),F35&gt;0)</formula>
    </cfRule>
  </conditionalFormatting>
  <conditionalFormatting sqref="J36">
    <cfRule type="expression" priority="901" dxfId="2">
      <formula>=AND(G36&lt;('تنظیمات'!$C$5+7),H36&gt;('تنظیمات'!$C$5+0),F36&gt;0)</formula>
    </cfRule>
  </conditionalFormatting>
  <conditionalFormatting sqref="K36">
    <cfRule type="expression" priority="902" dxfId="2">
      <formula>=AND(G36&lt;('تنظیمات'!$C$5+14),H36&gt;('تنظیمات'!$C$5+7),F36&gt;0)</formula>
    </cfRule>
  </conditionalFormatting>
  <conditionalFormatting sqref="L36">
    <cfRule type="expression" priority="903" dxfId="2">
      <formula>=AND(G36&lt;('تنظیمات'!$C$5+21),H36&gt;('تنظیمات'!$C$5+14),F36&gt;0)</formula>
    </cfRule>
  </conditionalFormatting>
  <conditionalFormatting sqref="M36">
    <cfRule type="expression" priority="904" dxfId="2">
      <formula>=AND(G36&lt;('تنظیمات'!$C$5+28),H36&gt;('تنظیمات'!$C$5+21),F36&gt;0)</formula>
    </cfRule>
  </conditionalFormatting>
  <conditionalFormatting sqref="N36">
    <cfRule type="expression" priority="905" dxfId="2">
      <formula>=AND(G36&lt;('تنظیمات'!$C$5+35),H36&gt;('تنظیمات'!$C$5+28),F36&gt;0)</formula>
    </cfRule>
  </conditionalFormatting>
  <conditionalFormatting sqref="O36">
    <cfRule type="expression" priority="906" dxfId="2">
      <formula>=AND(G36&lt;('تنظیمات'!$C$5+42),H36&gt;('تنظیمات'!$C$5+35),F36&gt;0)</formula>
    </cfRule>
  </conditionalFormatting>
  <conditionalFormatting sqref="P36">
    <cfRule type="expression" priority="907" dxfId="2">
      <formula>=AND(G36&lt;('تنظیمات'!$C$5+49),H36&gt;('تنظیمات'!$C$5+42),F36&gt;0)</formula>
    </cfRule>
  </conditionalFormatting>
  <conditionalFormatting sqref="Q36">
    <cfRule type="expression" priority="908" dxfId="2">
      <formula>=AND(G36&lt;('تنظیمات'!$C$5+56),H36&gt;('تنظیمات'!$C$5+49),F36&gt;0)</formula>
    </cfRule>
  </conditionalFormatting>
  <conditionalFormatting sqref="R36">
    <cfRule type="expression" priority="909" dxfId="2">
      <formula>=AND(G36&lt;('تنظیمات'!$C$5+63),H36&gt;('تنظیمات'!$C$5+56),F36&gt;0)</formula>
    </cfRule>
  </conditionalFormatting>
  <conditionalFormatting sqref="S36">
    <cfRule type="expression" priority="910" dxfId="2">
      <formula>=AND(G36&lt;('تنظیمات'!$C$5+70),H36&gt;('تنظیمات'!$C$5+63),F36&gt;0)</formula>
    </cfRule>
  </conditionalFormatting>
  <conditionalFormatting sqref="T36">
    <cfRule type="expression" priority="911" dxfId="2">
      <formula>=AND(G36&lt;('تنظیمات'!$C$5+77),H36&gt;('تنظیمات'!$C$5+70),F36&gt;0)</formula>
    </cfRule>
  </conditionalFormatting>
  <conditionalFormatting sqref="U36">
    <cfRule type="expression" priority="912" dxfId="2">
      <formula>=AND(G36&lt;('تنظیمات'!$C$5+84),H36&gt;('تنظیمات'!$C$5+77),F36&gt;0)</formula>
    </cfRule>
  </conditionalFormatting>
  <conditionalFormatting sqref="V36">
    <cfRule type="expression" priority="913" dxfId="2">
      <formula>=AND(G36&lt;('تنظیمات'!$C$5+91),H36&gt;('تنظیمات'!$C$5+84),F36&gt;0)</formula>
    </cfRule>
  </conditionalFormatting>
  <conditionalFormatting sqref="W36">
    <cfRule type="expression" priority="914" dxfId="2">
      <formula>=AND(G36&lt;('تنظیمات'!$C$5+98),H36&gt;('تنظیمات'!$C$5+91),F36&gt;0)</formula>
    </cfRule>
  </conditionalFormatting>
  <conditionalFormatting sqref="X36">
    <cfRule type="expression" priority="915" dxfId="2">
      <formula>=AND(G36&lt;('تنظیمات'!$C$5+105),H36&gt;('تنظیمات'!$C$5+98),F36&gt;0)</formula>
    </cfRule>
  </conditionalFormatting>
  <conditionalFormatting sqref="Y36">
    <cfRule type="expression" priority="916" dxfId="2">
      <formula>=AND(G36&lt;('تنظیمات'!$C$5+112),H36&gt;('تنظیمات'!$C$5+105),F36&gt;0)</formula>
    </cfRule>
  </conditionalFormatting>
  <conditionalFormatting sqref="Z36">
    <cfRule type="expression" priority="917" dxfId="2">
      <formula>=AND(G36&lt;('تنظیمات'!$C$5+119),H36&gt;('تنظیمات'!$C$5+112),F36&gt;0)</formula>
    </cfRule>
  </conditionalFormatting>
  <conditionalFormatting sqref="AA36">
    <cfRule type="expression" priority="918" dxfId="2">
      <formula>=AND(G36&lt;('تنظیمات'!$C$5+126),H36&gt;('تنظیمات'!$C$5+119),F36&gt;0)</formula>
    </cfRule>
  </conditionalFormatting>
  <conditionalFormatting sqref="AB36">
    <cfRule type="expression" priority="919" dxfId="2">
      <formula>=AND(G36&lt;('تنظیمات'!$C$5+133),H36&gt;('تنظیمات'!$C$5+126),F36&gt;0)</formula>
    </cfRule>
  </conditionalFormatting>
  <conditionalFormatting sqref="AC36">
    <cfRule type="expression" priority="920" dxfId="2">
      <formula>=AND(G36&lt;('تنظیمات'!$C$5+140),H36&gt;('تنظیمات'!$C$5+133),F36&gt;0)</formula>
    </cfRule>
  </conditionalFormatting>
  <conditionalFormatting sqref="AD36">
    <cfRule type="expression" priority="921" dxfId="2">
      <formula>=AND(G36&lt;('تنظیمات'!$C$5+147),H36&gt;('تنظیمات'!$C$5+140),F36&gt;0)</formula>
    </cfRule>
  </conditionalFormatting>
  <conditionalFormatting sqref="AE36">
    <cfRule type="expression" priority="922" dxfId="2">
      <formula>=AND(G36&lt;('تنظیمات'!$C$5+154),H36&gt;('تنظیمات'!$C$5+147),F36&gt;0)</formula>
    </cfRule>
  </conditionalFormatting>
  <conditionalFormatting sqref="AF36">
    <cfRule type="expression" priority="923" dxfId="2">
      <formula>=AND(G36&lt;('تنظیمات'!$C$5+161),H36&gt;('تنظیمات'!$C$5+154),F36&gt;0)</formula>
    </cfRule>
  </conditionalFormatting>
  <conditionalFormatting sqref="AG36">
    <cfRule type="expression" priority="924" dxfId="2">
      <formula>=AND(G36&lt;('تنظیمات'!$C$5+168),H36&gt;('تنظیمات'!$C$5+161),F36&gt;0)</formula>
    </cfRule>
  </conditionalFormatting>
  <conditionalFormatting sqref="AH36">
    <cfRule type="expression" priority="925" dxfId="2">
      <formula>=AND(G36&lt;('تنظیمات'!$C$5+175),H36&gt;('تنظیمات'!$C$5+168),F36&gt;0)</formula>
    </cfRule>
  </conditionalFormatting>
  <conditionalFormatting sqref="AI36">
    <cfRule type="expression" priority="926" dxfId="2">
      <formula>=AND(G36&lt;('تنظیمات'!$C$5+182),H36&gt;('تنظیمات'!$C$5+175),F36&gt;0)</formula>
    </cfRule>
  </conditionalFormatting>
  <conditionalFormatting sqref="AJ36">
    <cfRule type="expression" priority="927" dxfId="2">
      <formula>=AND(G36&lt;('تنظیمات'!$C$5+189),H36&gt;('تنظیمات'!$C$5+182),F36&gt;0)</formula>
    </cfRule>
  </conditionalFormatting>
  <conditionalFormatting sqref="AK36">
    <cfRule type="expression" priority="928" dxfId="2">
      <formula>=AND(G36&lt;('تنظیمات'!$C$5+196),H36&gt;('تنظیمات'!$C$5+189),F36&gt;0)</formula>
    </cfRule>
  </conditionalFormatting>
  <conditionalFormatting sqref="AL36">
    <cfRule type="expression" priority="929" dxfId="2">
      <formula>=AND(G36&lt;('تنظیمات'!$C$5+203),H36&gt;('تنظیمات'!$C$5+196),F36&gt;0)</formula>
    </cfRule>
  </conditionalFormatting>
  <conditionalFormatting sqref="AM36">
    <cfRule type="expression" priority="930" dxfId="2">
      <formula>=AND(G36&lt;('تنظیمات'!$C$5+210),H36&gt;('تنظیمات'!$C$5+203),F36&gt;0)</formula>
    </cfRule>
  </conditionalFormatting>
  <conditionalFormatting sqref="J37">
    <cfRule type="expression" priority="931" dxfId="2">
      <formula>=AND(G37&lt;('تنظیمات'!$C$5+7),H37&gt;('تنظیمات'!$C$5+0),F37&gt;0)</formula>
    </cfRule>
  </conditionalFormatting>
  <conditionalFormatting sqref="K37">
    <cfRule type="expression" priority="932" dxfId="2">
      <formula>=AND(G37&lt;('تنظیمات'!$C$5+14),H37&gt;('تنظیمات'!$C$5+7),F37&gt;0)</formula>
    </cfRule>
  </conditionalFormatting>
  <conditionalFormatting sqref="L37">
    <cfRule type="expression" priority="933" dxfId="2">
      <formula>=AND(G37&lt;('تنظیمات'!$C$5+21),H37&gt;('تنظیمات'!$C$5+14),F37&gt;0)</formula>
    </cfRule>
  </conditionalFormatting>
  <conditionalFormatting sqref="M37">
    <cfRule type="expression" priority="934" dxfId="2">
      <formula>=AND(G37&lt;('تنظیمات'!$C$5+28),H37&gt;('تنظیمات'!$C$5+21),F37&gt;0)</formula>
    </cfRule>
  </conditionalFormatting>
  <conditionalFormatting sqref="N37">
    <cfRule type="expression" priority="935" dxfId="2">
      <formula>=AND(G37&lt;('تنظیمات'!$C$5+35),H37&gt;('تنظیمات'!$C$5+28),F37&gt;0)</formula>
    </cfRule>
  </conditionalFormatting>
  <conditionalFormatting sqref="O37">
    <cfRule type="expression" priority="936" dxfId="2">
      <formula>=AND(G37&lt;('تنظیمات'!$C$5+42),H37&gt;('تنظیمات'!$C$5+35),F37&gt;0)</formula>
    </cfRule>
  </conditionalFormatting>
  <conditionalFormatting sqref="P37">
    <cfRule type="expression" priority="937" dxfId="2">
      <formula>=AND(G37&lt;('تنظیمات'!$C$5+49),H37&gt;('تنظیمات'!$C$5+42),F37&gt;0)</formula>
    </cfRule>
  </conditionalFormatting>
  <conditionalFormatting sqref="Q37">
    <cfRule type="expression" priority="938" dxfId="2">
      <formula>=AND(G37&lt;('تنظیمات'!$C$5+56),H37&gt;('تنظیمات'!$C$5+49),F37&gt;0)</formula>
    </cfRule>
  </conditionalFormatting>
  <conditionalFormatting sqref="R37">
    <cfRule type="expression" priority="939" dxfId="2">
      <formula>=AND(G37&lt;('تنظیمات'!$C$5+63),H37&gt;('تنظیمات'!$C$5+56),F37&gt;0)</formula>
    </cfRule>
  </conditionalFormatting>
  <conditionalFormatting sqref="S37">
    <cfRule type="expression" priority="940" dxfId="2">
      <formula>=AND(G37&lt;('تنظیمات'!$C$5+70),H37&gt;('تنظیمات'!$C$5+63),F37&gt;0)</formula>
    </cfRule>
  </conditionalFormatting>
  <conditionalFormatting sqref="T37">
    <cfRule type="expression" priority="941" dxfId="2">
      <formula>=AND(G37&lt;('تنظیمات'!$C$5+77),H37&gt;('تنظیمات'!$C$5+70),F37&gt;0)</formula>
    </cfRule>
  </conditionalFormatting>
  <conditionalFormatting sqref="U37">
    <cfRule type="expression" priority="942" dxfId="2">
      <formula>=AND(G37&lt;('تنظیمات'!$C$5+84),H37&gt;('تنظیمات'!$C$5+77),F37&gt;0)</formula>
    </cfRule>
  </conditionalFormatting>
  <conditionalFormatting sqref="V37">
    <cfRule type="expression" priority="943" dxfId="2">
      <formula>=AND(G37&lt;('تنظیمات'!$C$5+91),H37&gt;('تنظیمات'!$C$5+84),F37&gt;0)</formula>
    </cfRule>
  </conditionalFormatting>
  <conditionalFormatting sqref="W37">
    <cfRule type="expression" priority="944" dxfId="2">
      <formula>=AND(G37&lt;('تنظیمات'!$C$5+98),H37&gt;('تنظیمات'!$C$5+91),F37&gt;0)</formula>
    </cfRule>
  </conditionalFormatting>
  <conditionalFormatting sqref="X37">
    <cfRule type="expression" priority="945" dxfId="2">
      <formula>=AND(G37&lt;('تنظیمات'!$C$5+105),H37&gt;('تنظیمات'!$C$5+98),F37&gt;0)</formula>
    </cfRule>
  </conditionalFormatting>
  <conditionalFormatting sqref="Y37">
    <cfRule type="expression" priority="946" dxfId="2">
      <formula>=AND(G37&lt;('تنظیمات'!$C$5+112),H37&gt;('تنظیمات'!$C$5+105),F37&gt;0)</formula>
    </cfRule>
  </conditionalFormatting>
  <conditionalFormatting sqref="Z37">
    <cfRule type="expression" priority="947" dxfId="2">
      <formula>=AND(G37&lt;('تنظیمات'!$C$5+119),H37&gt;('تنظیمات'!$C$5+112),F37&gt;0)</formula>
    </cfRule>
  </conditionalFormatting>
  <conditionalFormatting sqref="AA37">
    <cfRule type="expression" priority="948" dxfId="2">
      <formula>=AND(G37&lt;('تنظیمات'!$C$5+126),H37&gt;('تنظیمات'!$C$5+119),F37&gt;0)</formula>
    </cfRule>
  </conditionalFormatting>
  <conditionalFormatting sqref="AB37">
    <cfRule type="expression" priority="949" dxfId="2">
      <formula>=AND(G37&lt;('تنظیمات'!$C$5+133),H37&gt;('تنظیمات'!$C$5+126),F37&gt;0)</formula>
    </cfRule>
  </conditionalFormatting>
  <conditionalFormatting sqref="AC37">
    <cfRule type="expression" priority="950" dxfId="2">
      <formula>=AND(G37&lt;('تنظیمات'!$C$5+140),H37&gt;('تنظیمات'!$C$5+133),F37&gt;0)</formula>
    </cfRule>
  </conditionalFormatting>
  <conditionalFormatting sqref="AD37">
    <cfRule type="expression" priority="951" dxfId="2">
      <formula>=AND(G37&lt;('تنظیمات'!$C$5+147),H37&gt;('تنظیمات'!$C$5+140),F37&gt;0)</formula>
    </cfRule>
  </conditionalFormatting>
  <conditionalFormatting sqref="AE37">
    <cfRule type="expression" priority="952" dxfId="2">
      <formula>=AND(G37&lt;('تنظیمات'!$C$5+154),H37&gt;('تنظیمات'!$C$5+147),F37&gt;0)</formula>
    </cfRule>
  </conditionalFormatting>
  <conditionalFormatting sqref="AF37">
    <cfRule type="expression" priority="953" dxfId="2">
      <formula>=AND(G37&lt;('تنظیمات'!$C$5+161),H37&gt;('تنظیمات'!$C$5+154),F37&gt;0)</formula>
    </cfRule>
  </conditionalFormatting>
  <conditionalFormatting sqref="AG37">
    <cfRule type="expression" priority="954" dxfId="2">
      <formula>=AND(G37&lt;('تنظیمات'!$C$5+168),H37&gt;('تنظیمات'!$C$5+161),F37&gt;0)</formula>
    </cfRule>
  </conditionalFormatting>
  <conditionalFormatting sqref="AH37">
    <cfRule type="expression" priority="955" dxfId="2">
      <formula>=AND(G37&lt;('تنظیمات'!$C$5+175),H37&gt;('تنظیمات'!$C$5+168),F37&gt;0)</formula>
    </cfRule>
  </conditionalFormatting>
  <conditionalFormatting sqref="AI37">
    <cfRule type="expression" priority="956" dxfId="2">
      <formula>=AND(G37&lt;('تنظیمات'!$C$5+182),H37&gt;('تنظیمات'!$C$5+175),F37&gt;0)</formula>
    </cfRule>
  </conditionalFormatting>
  <conditionalFormatting sqref="AJ37">
    <cfRule type="expression" priority="957" dxfId="2">
      <formula>=AND(G37&lt;('تنظیمات'!$C$5+189),H37&gt;('تنظیمات'!$C$5+182),F37&gt;0)</formula>
    </cfRule>
  </conditionalFormatting>
  <conditionalFormatting sqref="AK37">
    <cfRule type="expression" priority="958" dxfId="2">
      <formula>=AND(G37&lt;('تنظیمات'!$C$5+196),H37&gt;('تنظیمات'!$C$5+189),F37&gt;0)</formula>
    </cfRule>
  </conditionalFormatting>
  <conditionalFormatting sqref="AL37">
    <cfRule type="expression" priority="959" dxfId="2">
      <formula>=AND(G37&lt;('تنظیمات'!$C$5+203),H37&gt;('تنظیمات'!$C$5+196),F37&gt;0)</formula>
    </cfRule>
  </conditionalFormatting>
  <conditionalFormatting sqref="AM37">
    <cfRule type="expression" priority="960" dxfId="2">
      <formula>=AND(G37&lt;('تنظیمات'!$C$5+210),H37&gt;('تنظیمات'!$C$5+203),F37&gt;0)</formula>
    </cfRule>
  </conditionalFormatting>
  <conditionalFormatting sqref="J38">
    <cfRule type="expression" priority="961" dxfId="2">
      <formula>=AND(G38&lt;('تنظیمات'!$C$5+7),H38&gt;('تنظیمات'!$C$5+0),F38&gt;0)</formula>
    </cfRule>
  </conditionalFormatting>
  <conditionalFormatting sqref="K38">
    <cfRule type="expression" priority="962" dxfId="2">
      <formula>=AND(G38&lt;('تنظیمات'!$C$5+14),H38&gt;('تنظیمات'!$C$5+7),F38&gt;0)</formula>
    </cfRule>
  </conditionalFormatting>
  <conditionalFormatting sqref="L38">
    <cfRule type="expression" priority="963" dxfId="2">
      <formula>=AND(G38&lt;('تنظیمات'!$C$5+21),H38&gt;('تنظیمات'!$C$5+14),F38&gt;0)</formula>
    </cfRule>
  </conditionalFormatting>
  <conditionalFormatting sqref="M38">
    <cfRule type="expression" priority="964" dxfId="2">
      <formula>=AND(G38&lt;('تنظیمات'!$C$5+28),H38&gt;('تنظیمات'!$C$5+21),F38&gt;0)</formula>
    </cfRule>
  </conditionalFormatting>
  <conditionalFormatting sqref="N38">
    <cfRule type="expression" priority="965" dxfId="2">
      <formula>=AND(G38&lt;('تنظیمات'!$C$5+35),H38&gt;('تنظیمات'!$C$5+28),F38&gt;0)</formula>
    </cfRule>
  </conditionalFormatting>
  <conditionalFormatting sqref="O38">
    <cfRule type="expression" priority="966" dxfId="2">
      <formula>=AND(G38&lt;('تنظیمات'!$C$5+42),H38&gt;('تنظیمات'!$C$5+35),F38&gt;0)</formula>
    </cfRule>
  </conditionalFormatting>
  <conditionalFormatting sqref="P38">
    <cfRule type="expression" priority="967" dxfId="2">
      <formula>=AND(G38&lt;('تنظیمات'!$C$5+49),H38&gt;('تنظیمات'!$C$5+42),F38&gt;0)</formula>
    </cfRule>
  </conditionalFormatting>
  <conditionalFormatting sqref="Q38">
    <cfRule type="expression" priority="968" dxfId="2">
      <formula>=AND(G38&lt;('تنظیمات'!$C$5+56),H38&gt;('تنظیمات'!$C$5+49),F38&gt;0)</formula>
    </cfRule>
  </conditionalFormatting>
  <conditionalFormatting sqref="R38">
    <cfRule type="expression" priority="969" dxfId="2">
      <formula>=AND(G38&lt;('تنظیمات'!$C$5+63),H38&gt;('تنظیمات'!$C$5+56),F38&gt;0)</formula>
    </cfRule>
  </conditionalFormatting>
  <conditionalFormatting sqref="S38">
    <cfRule type="expression" priority="970" dxfId="2">
      <formula>=AND(G38&lt;('تنظیمات'!$C$5+70),H38&gt;('تنظیمات'!$C$5+63),F38&gt;0)</formula>
    </cfRule>
  </conditionalFormatting>
  <conditionalFormatting sqref="T38">
    <cfRule type="expression" priority="971" dxfId="2">
      <formula>=AND(G38&lt;('تنظیمات'!$C$5+77),H38&gt;('تنظیمات'!$C$5+70),F38&gt;0)</formula>
    </cfRule>
  </conditionalFormatting>
  <conditionalFormatting sqref="U38">
    <cfRule type="expression" priority="972" dxfId="2">
      <formula>=AND(G38&lt;('تنظیمات'!$C$5+84),H38&gt;('تنظیمات'!$C$5+77),F38&gt;0)</formula>
    </cfRule>
  </conditionalFormatting>
  <conditionalFormatting sqref="V38">
    <cfRule type="expression" priority="973" dxfId="2">
      <formula>=AND(G38&lt;('تنظیمات'!$C$5+91),H38&gt;('تنظیمات'!$C$5+84),F38&gt;0)</formula>
    </cfRule>
  </conditionalFormatting>
  <conditionalFormatting sqref="W38">
    <cfRule type="expression" priority="974" dxfId="2">
      <formula>=AND(G38&lt;('تنظیمات'!$C$5+98),H38&gt;('تنظیمات'!$C$5+91),F38&gt;0)</formula>
    </cfRule>
  </conditionalFormatting>
  <conditionalFormatting sqref="X38">
    <cfRule type="expression" priority="975" dxfId="2">
      <formula>=AND(G38&lt;('تنظیمات'!$C$5+105),H38&gt;('تنظیمات'!$C$5+98),F38&gt;0)</formula>
    </cfRule>
  </conditionalFormatting>
  <conditionalFormatting sqref="Y38">
    <cfRule type="expression" priority="976" dxfId="2">
      <formula>=AND(G38&lt;('تنظیمات'!$C$5+112),H38&gt;('تنظیمات'!$C$5+105),F38&gt;0)</formula>
    </cfRule>
  </conditionalFormatting>
  <conditionalFormatting sqref="Z38">
    <cfRule type="expression" priority="977" dxfId="2">
      <formula>=AND(G38&lt;('تنظیمات'!$C$5+119),H38&gt;('تنظیمات'!$C$5+112),F38&gt;0)</formula>
    </cfRule>
  </conditionalFormatting>
  <conditionalFormatting sqref="AA38">
    <cfRule type="expression" priority="978" dxfId="2">
      <formula>=AND(G38&lt;('تنظیمات'!$C$5+126),H38&gt;('تنظیمات'!$C$5+119),F38&gt;0)</formula>
    </cfRule>
  </conditionalFormatting>
  <conditionalFormatting sqref="AB38">
    <cfRule type="expression" priority="979" dxfId="2">
      <formula>=AND(G38&lt;('تنظیمات'!$C$5+133),H38&gt;('تنظیمات'!$C$5+126),F38&gt;0)</formula>
    </cfRule>
  </conditionalFormatting>
  <conditionalFormatting sqref="AC38">
    <cfRule type="expression" priority="980" dxfId="2">
      <formula>=AND(G38&lt;('تنظیمات'!$C$5+140),H38&gt;('تنظیمات'!$C$5+133),F38&gt;0)</formula>
    </cfRule>
  </conditionalFormatting>
  <conditionalFormatting sqref="AD38">
    <cfRule type="expression" priority="981" dxfId="2">
      <formula>=AND(G38&lt;('تنظیمات'!$C$5+147),H38&gt;('تنظیمات'!$C$5+140),F38&gt;0)</formula>
    </cfRule>
  </conditionalFormatting>
  <conditionalFormatting sqref="AE38">
    <cfRule type="expression" priority="982" dxfId="2">
      <formula>=AND(G38&lt;('تنظیمات'!$C$5+154),H38&gt;('تنظیمات'!$C$5+147),F38&gt;0)</formula>
    </cfRule>
  </conditionalFormatting>
  <conditionalFormatting sqref="AF38">
    <cfRule type="expression" priority="983" dxfId="2">
      <formula>=AND(G38&lt;('تنظیمات'!$C$5+161),H38&gt;('تنظیمات'!$C$5+154),F38&gt;0)</formula>
    </cfRule>
  </conditionalFormatting>
  <conditionalFormatting sqref="AG38">
    <cfRule type="expression" priority="984" dxfId="2">
      <formula>=AND(G38&lt;('تنظیمات'!$C$5+168),H38&gt;('تنظیمات'!$C$5+161),F38&gt;0)</formula>
    </cfRule>
  </conditionalFormatting>
  <conditionalFormatting sqref="AH38">
    <cfRule type="expression" priority="985" dxfId="2">
      <formula>=AND(G38&lt;('تنظیمات'!$C$5+175),H38&gt;('تنظیمات'!$C$5+168),F38&gt;0)</formula>
    </cfRule>
  </conditionalFormatting>
  <conditionalFormatting sqref="AI38">
    <cfRule type="expression" priority="986" dxfId="2">
      <formula>=AND(G38&lt;('تنظیمات'!$C$5+182),H38&gt;('تنظیمات'!$C$5+175),F38&gt;0)</formula>
    </cfRule>
  </conditionalFormatting>
  <conditionalFormatting sqref="AJ38">
    <cfRule type="expression" priority="987" dxfId="2">
      <formula>=AND(G38&lt;('تنظیمات'!$C$5+189),H38&gt;('تنظیمات'!$C$5+182),F38&gt;0)</formula>
    </cfRule>
  </conditionalFormatting>
  <conditionalFormatting sqref="AK38">
    <cfRule type="expression" priority="988" dxfId="2">
      <formula>=AND(G38&lt;('تنظیمات'!$C$5+196),H38&gt;('تنظیمات'!$C$5+189),F38&gt;0)</formula>
    </cfRule>
  </conditionalFormatting>
  <conditionalFormatting sqref="AL38">
    <cfRule type="expression" priority="989" dxfId="2">
      <formula>=AND(G38&lt;('تنظیمات'!$C$5+203),H38&gt;('تنظیمات'!$C$5+196),F38&gt;0)</formula>
    </cfRule>
  </conditionalFormatting>
  <conditionalFormatting sqref="AM38">
    <cfRule type="expression" priority="990" dxfId="2">
      <formula>=AND(G38&lt;('تنظیمات'!$C$5+210),H38&gt;('تنظیمات'!$C$5+203),F38&gt;0)</formula>
    </cfRule>
  </conditionalFormatting>
  <conditionalFormatting sqref="J39">
    <cfRule type="expression" priority="991" dxfId="3">
      <formula>=AND(G39&lt;('تنظیمات'!$C$5+7),H39&gt;('تنظیمات'!$C$5+0),F39&gt;0)</formula>
    </cfRule>
  </conditionalFormatting>
  <conditionalFormatting sqref="K39">
    <cfRule type="expression" priority="992" dxfId="3">
      <formula>=AND(G39&lt;('تنظیمات'!$C$5+14),H39&gt;('تنظیمات'!$C$5+7),F39&gt;0)</formula>
    </cfRule>
  </conditionalFormatting>
  <conditionalFormatting sqref="L39">
    <cfRule type="expression" priority="993" dxfId="3">
      <formula>=AND(G39&lt;('تنظیمات'!$C$5+21),H39&gt;('تنظیمات'!$C$5+14),F39&gt;0)</formula>
    </cfRule>
  </conditionalFormatting>
  <conditionalFormatting sqref="M39">
    <cfRule type="expression" priority="994" dxfId="3">
      <formula>=AND(G39&lt;('تنظیمات'!$C$5+28),H39&gt;('تنظیمات'!$C$5+21),F39&gt;0)</formula>
    </cfRule>
  </conditionalFormatting>
  <conditionalFormatting sqref="N39">
    <cfRule type="expression" priority="995" dxfId="3">
      <formula>=AND(G39&lt;('تنظیمات'!$C$5+35),H39&gt;('تنظیمات'!$C$5+28),F39&gt;0)</formula>
    </cfRule>
  </conditionalFormatting>
  <conditionalFormatting sqref="O39">
    <cfRule type="expression" priority="996" dxfId="3">
      <formula>=AND(G39&lt;('تنظیمات'!$C$5+42),H39&gt;('تنظیمات'!$C$5+35),F39&gt;0)</formula>
    </cfRule>
  </conditionalFormatting>
  <conditionalFormatting sqref="P39">
    <cfRule type="expression" priority="997" dxfId="3">
      <formula>=AND(G39&lt;('تنظیمات'!$C$5+49),H39&gt;('تنظیمات'!$C$5+42),F39&gt;0)</formula>
    </cfRule>
  </conditionalFormatting>
  <conditionalFormatting sqref="Q39">
    <cfRule type="expression" priority="998" dxfId="3">
      <formula>=AND(G39&lt;('تنظیمات'!$C$5+56),H39&gt;('تنظیمات'!$C$5+49),F39&gt;0)</formula>
    </cfRule>
  </conditionalFormatting>
  <conditionalFormatting sqref="R39">
    <cfRule type="expression" priority="999" dxfId="3">
      <formula>=AND(G39&lt;('تنظیمات'!$C$5+63),H39&gt;('تنظیمات'!$C$5+56),F39&gt;0)</formula>
    </cfRule>
  </conditionalFormatting>
  <conditionalFormatting sqref="S39">
    <cfRule type="expression" priority="1000" dxfId="3">
      <formula>=AND(G39&lt;('تنظیمات'!$C$5+70),H39&gt;('تنظیمات'!$C$5+63),F39&gt;0)</formula>
    </cfRule>
  </conditionalFormatting>
  <conditionalFormatting sqref="T39">
    <cfRule type="expression" priority="1001" dxfId="3">
      <formula>=AND(G39&lt;('تنظیمات'!$C$5+77),H39&gt;('تنظیمات'!$C$5+70),F39&gt;0)</formula>
    </cfRule>
  </conditionalFormatting>
  <conditionalFormatting sqref="U39">
    <cfRule type="expression" priority="1002" dxfId="3">
      <formula>=AND(G39&lt;('تنظیمات'!$C$5+84),H39&gt;('تنظیمات'!$C$5+77),F39&gt;0)</formula>
    </cfRule>
  </conditionalFormatting>
  <conditionalFormatting sqref="V39">
    <cfRule type="expression" priority="1003" dxfId="3">
      <formula>=AND(G39&lt;('تنظیمات'!$C$5+91),H39&gt;('تنظیمات'!$C$5+84),F39&gt;0)</formula>
    </cfRule>
  </conditionalFormatting>
  <conditionalFormatting sqref="W39">
    <cfRule type="expression" priority="1004" dxfId="3">
      <formula>=AND(G39&lt;('تنظیمات'!$C$5+98),H39&gt;('تنظیمات'!$C$5+91),F39&gt;0)</formula>
    </cfRule>
  </conditionalFormatting>
  <conditionalFormatting sqref="X39">
    <cfRule type="expression" priority="1005" dxfId="3">
      <formula>=AND(G39&lt;('تنظیمات'!$C$5+105),H39&gt;('تنظیمات'!$C$5+98),F39&gt;0)</formula>
    </cfRule>
  </conditionalFormatting>
  <conditionalFormatting sqref="Y39">
    <cfRule type="expression" priority="1006" dxfId="3">
      <formula>=AND(G39&lt;('تنظیمات'!$C$5+112),H39&gt;('تنظیمات'!$C$5+105),F39&gt;0)</formula>
    </cfRule>
  </conditionalFormatting>
  <conditionalFormatting sqref="Z39">
    <cfRule type="expression" priority="1007" dxfId="3">
      <formula>=AND(G39&lt;('تنظیمات'!$C$5+119),H39&gt;('تنظیمات'!$C$5+112),F39&gt;0)</formula>
    </cfRule>
  </conditionalFormatting>
  <conditionalFormatting sqref="AA39">
    <cfRule type="expression" priority="1008" dxfId="3">
      <formula>=AND(G39&lt;('تنظیمات'!$C$5+126),H39&gt;('تنظیمات'!$C$5+119),F39&gt;0)</formula>
    </cfRule>
  </conditionalFormatting>
  <conditionalFormatting sqref="AB39">
    <cfRule type="expression" priority="1009" dxfId="3">
      <formula>=AND(G39&lt;('تنظیمات'!$C$5+133),H39&gt;('تنظیمات'!$C$5+126),F39&gt;0)</formula>
    </cfRule>
  </conditionalFormatting>
  <conditionalFormatting sqref="AC39">
    <cfRule type="expression" priority="1010" dxfId="3">
      <formula>=AND(G39&lt;('تنظیمات'!$C$5+140),H39&gt;('تنظیمات'!$C$5+133),F39&gt;0)</formula>
    </cfRule>
  </conditionalFormatting>
  <conditionalFormatting sqref="AD39">
    <cfRule type="expression" priority="1011" dxfId="3">
      <formula>=AND(G39&lt;('تنظیمات'!$C$5+147),H39&gt;('تنظیمات'!$C$5+140),F39&gt;0)</formula>
    </cfRule>
  </conditionalFormatting>
  <conditionalFormatting sqref="AE39">
    <cfRule type="expression" priority="1012" dxfId="3">
      <formula>=AND(G39&lt;('تنظیمات'!$C$5+154),H39&gt;('تنظیمات'!$C$5+147),F39&gt;0)</formula>
    </cfRule>
  </conditionalFormatting>
  <conditionalFormatting sqref="AF39">
    <cfRule type="expression" priority="1013" dxfId="3">
      <formula>=AND(G39&lt;('تنظیمات'!$C$5+161),H39&gt;('تنظیمات'!$C$5+154),F39&gt;0)</formula>
    </cfRule>
  </conditionalFormatting>
  <conditionalFormatting sqref="AG39">
    <cfRule type="expression" priority="1014" dxfId="3">
      <formula>=AND(G39&lt;('تنظیمات'!$C$5+168),H39&gt;('تنظیمات'!$C$5+161),F39&gt;0)</formula>
    </cfRule>
  </conditionalFormatting>
  <conditionalFormatting sqref="AH39">
    <cfRule type="expression" priority="1015" dxfId="3">
      <formula>=AND(G39&lt;('تنظیمات'!$C$5+175),H39&gt;('تنظیمات'!$C$5+168),F39&gt;0)</formula>
    </cfRule>
  </conditionalFormatting>
  <conditionalFormatting sqref="AI39">
    <cfRule type="expression" priority="1016" dxfId="3">
      <formula>=AND(G39&lt;('تنظیمات'!$C$5+182),H39&gt;('تنظیمات'!$C$5+175),F39&gt;0)</formula>
    </cfRule>
  </conditionalFormatting>
  <conditionalFormatting sqref="AJ39">
    <cfRule type="expression" priority="1017" dxfId="3">
      <formula>=AND(G39&lt;('تنظیمات'!$C$5+189),H39&gt;('تنظیمات'!$C$5+182),F39&gt;0)</formula>
    </cfRule>
  </conditionalFormatting>
  <conditionalFormatting sqref="AK39">
    <cfRule type="expression" priority="1018" dxfId="3">
      <formula>=AND(G39&lt;('تنظیمات'!$C$5+196),H39&gt;('تنظیمات'!$C$5+189),F39&gt;0)</formula>
    </cfRule>
  </conditionalFormatting>
  <conditionalFormatting sqref="AL39">
    <cfRule type="expression" priority="1019" dxfId="3">
      <formula>=AND(G39&lt;('تنظیمات'!$C$5+203),H39&gt;('تنظیمات'!$C$5+196),F39&gt;0)</formula>
    </cfRule>
  </conditionalFormatting>
  <conditionalFormatting sqref="AM39">
    <cfRule type="expression" priority="1020" dxfId="3">
      <formula>=AND(G39&lt;('تنظیمات'!$C$5+210),H39&gt;('تنظیمات'!$C$5+203),F39&gt;0)</formula>
    </cfRule>
  </conditionalFormatting>
  <conditionalFormatting sqref="J40">
    <cfRule type="expression" priority="1021" dxfId="3">
      <formula>=AND(G40&lt;('تنظیمات'!$C$5+7),H40&gt;('تنظیمات'!$C$5+0),F40&gt;0)</formula>
    </cfRule>
  </conditionalFormatting>
  <conditionalFormatting sqref="K40">
    <cfRule type="expression" priority="1022" dxfId="3">
      <formula>=AND(G40&lt;('تنظیمات'!$C$5+14),H40&gt;('تنظیمات'!$C$5+7),F40&gt;0)</formula>
    </cfRule>
  </conditionalFormatting>
  <conditionalFormatting sqref="L40">
    <cfRule type="expression" priority="1023" dxfId="3">
      <formula>=AND(G40&lt;('تنظیمات'!$C$5+21),H40&gt;('تنظیمات'!$C$5+14),F40&gt;0)</formula>
    </cfRule>
  </conditionalFormatting>
  <conditionalFormatting sqref="M40">
    <cfRule type="expression" priority="1024" dxfId="3">
      <formula>=AND(G40&lt;('تنظیمات'!$C$5+28),H40&gt;('تنظیمات'!$C$5+21),F40&gt;0)</formula>
    </cfRule>
  </conditionalFormatting>
  <conditionalFormatting sqref="N40">
    <cfRule type="expression" priority="1025" dxfId="3">
      <formula>=AND(G40&lt;('تنظیمات'!$C$5+35),H40&gt;('تنظیمات'!$C$5+28),F40&gt;0)</formula>
    </cfRule>
  </conditionalFormatting>
  <conditionalFormatting sqref="O40">
    <cfRule type="expression" priority="1026" dxfId="3">
      <formula>=AND(G40&lt;('تنظیمات'!$C$5+42),H40&gt;('تنظیمات'!$C$5+35),F40&gt;0)</formula>
    </cfRule>
  </conditionalFormatting>
  <conditionalFormatting sqref="P40">
    <cfRule type="expression" priority="1027" dxfId="3">
      <formula>=AND(G40&lt;('تنظیمات'!$C$5+49),H40&gt;('تنظیمات'!$C$5+42),F40&gt;0)</formula>
    </cfRule>
  </conditionalFormatting>
  <conditionalFormatting sqref="Q40">
    <cfRule type="expression" priority="1028" dxfId="3">
      <formula>=AND(G40&lt;('تنظیمات'!$C$5+56),H40&gt;('تنظیمات'!$C$5+49),F40&gt;0)</formula>
    </cfRule>
  </conditionalFormatting>
  <conditionalFormatting sqref="R40">
    <cfRule type="expression" priority="1029" dxfId="3">
      <formula>=AND(G40&lt;('تنظیمات'!$C$5+63),H40&gt;('تنظیمات'!$C$5+56),F40&gt;0)</formula>
    </cfRule>
  </conditionalFormatting>
  <conditionalFormatting sqref="S40">
    <cfRule type="expression" priority="1030" dxfId="3">
      <formula>=AND(G40&lt;('تنظیمات'!$C$5+70),H40&gt;('تنظیمات'!$C$5+63),F40&gt;0)</formula>
    </cfRule>
  </conditionalFormatting>
  <conditionalFormatting sqref="T40">
    <cfRule type="expression" priority="1031" dxfId="3">
      <formula>=AND(G40&lt;('تنظیمات'!$C$5+77),H40&gt;('تنظیمات'!$C$5+70),F40&gt;0)</formula>
    </cfRule>
  </conditionalFormatting>
  <conditionalFormatting sqref="U40">
    <cfRule type="expression" priority="1032" dxfId="3">
      <formula>=AND(G40&lt;('تنظیمات'!$C$5+84),H40&gt;('تنظیمات'!$C$5+77),F40&gt;0)</formula>
    </cfRule>
  </conditionalFormatting>
  <conditionalFormatting sqref="V40">
    <cfRule type="expression" priority="1033" dxfId="3">
      <formula>=AND(G40&lt;('تنظیمات'!$C$5+91),H40&gt;('تنظیمات'!$C$5+84),F40&gt;0)</formula>
    </cfRule>
  </conditionalFormatting>
  <conditionalFormatting sqref="W40">
    <cfRule type="expression" priority="1034" dxfId="3">
      <formula>=AND(G40&lt;('تنظیمات'!$C$5+98),H40&gt;('تنظیمات'!$C$5+91),F40&gt;0)</formula>
    </cfRule>
  </conditionalFormatting>
  <conditionalFormatting sqref="X40">
    <cfRule type="expression" priority="1035" dxfId="3">
      <formula>=AND(G40&lt;('تنظیمات'!$C$5+105),H40&gt;('تنظیمات'!$C$5+98),F40&gt;0)</formula>
    </cfRule>
  </conditionalFormatting>
  <conditionalFormatting sqref="Y40">
    <cfRule type="expression" priority="1036" dxfId="3">
      <formula>=AND(G40&lt;('تنظیمات'!$C$5+112),H40&gt;('تنظیمات'!$C$5+105),F40&gt;0)</formula>
    </cfRule>
  </conditionalFormatting>
  <conditionalFormatting sqref="Z40">
    <cfRule type="expression" priority="1037" dxfId="3">
      <formula>=AND(G40&lt;('تنظیمات'!$C$5+119),H40&gt;('تنظیمات'!$C$5+112),F40&gt;0)</formula>
    </cfRule>
  </conditionalFormatting>
  <conditionalFormatting sqref="AA40">
    <cfRule type="expression" priority="1038" dxfId="3">
      <formula>=AND(G40&lt;('تنظیمات'!$C$5+126),H40&gt;('تنظیمات'!$C$5+119),F40&gt;0)</formula>
    </cfRule>
  </conditionalFormatting>
  <conditionalFormatting sqref="AB40">
    <cfRule type="expression" priority="1039" dxfId="3">
      <formula>=AND(G40&lt;('تنظیمات'!$C$5+133),H40&gt;('تنظیمات'!$C$5+126),F40&gt;0)</formula>
    </cfRule>
  </conditionalFormatting>
  <conditionalFormatting sqref="AC40">
    <cfRule type="expression" priority="1040" dxfId="3">
      <formula>=AND(G40&lt;('تنظیمات'!$C$5+140),H40&gt;('تنظیمات'!$C$5+133),F40&gt;0)</formula>
    </cfRule>
  </conditionalFormatting>
  <conditionalFormatting sqref="AD40">
    <cfRule type="expression" priority="1041" dxfId="3">
      <formula>=AND(G40&lt;('تنظیمات'!$C$5+147),H40&gt;('تنظیمات'!$C$5+140),F40&gt;0)</formula>
    </cfRule>
  </conditionalFormatting>
  <conditionalFormatting sqref="AE40">
    <cfRule type="expression" priority="1042" dxfId="3">
      <formula>=AND(G40&lt;('تنظیمات'!$C$5+154),H40&gt;('تنظیمات'!$C$5+147),F40&gt;0)</formula>
    </cfRule>
  </conditionalFormatting>
  <conditionalFormatting sqref="AF40">
    <cfRule type="expression" priority="1043" dxfId="3">
      <formula>=AND(G40&lt;('تنظیمات'!$C$5+161),H40&gt;('تنظیمات'!$C$5+154),F40&gt;0)</formula>
    </cfRule>
  </conditionalFormatting>
  <conditionalFormatting sqref="AG40">
    <cfRule type="expression" priority="1044" dxfId="3">
      <formula>=AND(G40&lt;('تنظیمات'!$C$5+168),H40&gt;('تنظیمات'!$C$5+161),F40&gt;0)</formula>
    </cfRule>
  </conditionalFormatting>
  <conditionalFormatting sqref="AH40">
    <cfRule type="expression" priority="1045" dxfId="3">
      <formula>=AND(G40&lt;('تنظیمات'!$C$5+175),H40&gt;('تنظیمات'!$C$5+168),F40&gt;0)</formula>
    </cfRule>
  </conditionalFormatting>
  <conditionalFormatting sqref="AI40">
    <cfRule type="expression" priority="1046" dxfId="3">
      <formula>=AND(G40&lt;('تنظیمات'!$C$5+182),H40&gt;('تنظیمات'!$C$5+175),F40&gt;0)</formula>
    </cfRule>
  </conditionalFormatting>
  <conditionalFormatting sqref="AJ40">
    <cfRule type="expression" priority="1047" dxfId="3">
      <formula>=AND(G40&lt;('تنظیمات'!$C$5+189),H40&gt;('تنظیمات'!$C$5+182),F40&gt;0)</formula>
    </cfRule>
  </conditionalFormatting>
  <conditionalFormatting sqref="AK40">
    <cfRule type="expression" priority="1048" dxfId="3">
      <formula>=AND(G40&lt;('تنظیمات'!$C$5+196),H40&gt;('تنظیمات'!$C$5+189),F40&gt;0)</formula>
    </cfRule>
  </conditionalFormatting>
  <conditionalFormatting sqref="AL40">
    <cfRule type="expression" priority="1049" dxfId="3">
      <formula>=AND(G40&lt;('تنظیمات'!$C$5+203),H40&gt;('تنظیمات'!$C$5+196),F40&gt;0)</formula>
    </cfRule>
  </conditionalFormatting>
  <conditionalFormatting sqref="AM40">
    <cfRule type="expression" priority="1050" dxfId="3">
      <formula>=AND(G40&lt;('تنظیمات'!$C$5+210),H40&gt;('تنظیمات'!$C$5+203),F40&gt;0)</formula>
    </cfRule>
  </conditionalFormatting>
  <conditionalFormatting sqref="J41">
    <cfRule type="expression" priority="1051" dxfId="3">
      <formula>=AND(G41&lt;('تنظیمات'!$C$5+7),H41&gt;('تنظیمات'!$C$5+0),F41&gt;0)</formula>
    </cfRule>
  </conditionalFormatting>
  <conditionalFormatting sqref="K41">
    <cfRule type="expression" priority="1052" dxfId="3">
      <formula>=AND(G41&lt;('تنظیمات'!$C$5+14),H41&gt;('تنظیمات'!$C$5+7),F41&gt;0)</formula>
    </cfRule>
  </conditionalFormatting>
  <conditionalFormatting sqref="L41">
    <cfRule type="expression" priority="1053" dxfId="3">
      <formula>=AND(G41&lt;('تنظیمات'!$C$5+21),H41&gt;('تنظیمات'!$C$5+14),F41&gt;0)</formula>
    </cfRule>
  </conditionalFormatting>
  <conditionalFormatting sqref="M41">
    <cfRule type="expression" priority="1054" dxfId="3">
      <formula>=AND(G41&lt;('تنظیمات'!$C$5+28),H41&gt;('تنظیمات'!$C$5+21),F41&gt;0)</formula>
    </cfRule>
  </conditionalFormatting>
  <conditionalFormatting sqref="N41">
    <cfRule type="expression" priority="1055" dxfId="3">
      <formula>=AND(G41&lt;('تنظیمات'!$C$5+35),H41&gt;('تنظیمات'!$C$5+28),F41&gt;0)</formula>
    </cfRule>
  </conditionalFormatting>
  <conditionalFormatting sqref="O41">
    <cfRule type="expression" priority="1056" dxfId="3">
      <formula>=AND(G41&lt;('تنظیمات'!$C$5+42),H41&gt;('تنظیمات'!$C$5+35),F41&gt;0)</formula>
    </cfRule>
  </conditionalFormatting>
  <conditionalFormatting sqref="P41">
    <cfRule type="expression" priority="1057" dxfId="3">
      <formula>=AND(G41&lt;('تنظیمات'!$C$5+49),H41&gt;('تنظیمات'!$C$5+42),F41&gt;0)</formula>
    </cfRule>
  </conditionalFormatting>
  <conditionalFormatting sqref="Q41">
    <cfRule type="expression" priority="1058" dxfId="3">
      <formula>=AND(G41&lt;('تنظیمات'!$C$5+56),H41&gt;('تنظیمات'!$C$5+49),F41&gt;0)</formula>
    </cfRule>
  </conditionalFormatting>
  <conditionalFormatting sqref="R41">
    <cfRule type="expression" priority="1059" dxfId="3">
      <formula>=AND(G41&lt;('تنظیمات'!$C$5+63),H41&gt;('تنظیمات'!$C$5+56),F41&gt;0)</formula>
    </cfRule>
  </conditionalFormatting>
  <conditionalFormatting sqref="S41">
    <cfRule type="expression" priority="1060" dxfId="3">
      <formula>=AND(G41&lt;('تنظیمات'!$C$5+70),H41&gt;('تنظیمات'!$C$5+63),F41&gt;0)</formula>
    </cfRule>
  </conditionalFormatting>
  <conditionalFormatting sqref="T41">
    <cfRule type="expression" priority="1061" dxfId="3">
      <formula>=AND(G41&lt;('تنظیمات'!$C$5+77),H41&gt;('تنظیمات'!$C$5+70),F41&gt;0)</formula>
    </cfRule>
  </conditionalFormatting>
  <conditionalFormatting sqref="U41">
    <cfRule type="expression" priority="1062" dxfId="3">
      <formula>=AND(G41&lt;('تنظیمات'!$C$5+84),H41&gt;('تنظیمات'!$C$5+77),F41&gt;0)</formula>
    </cfRule>
  </conditionalFormatting>
  <conditionalFormatting sqref="V41">
    <cfRule type="expression" priority="1063" dxfId="3">
      <formula>=AND(G41&lt;('تنظیمات'!$C$5+91),H41&gt;('تنظیمات'!$C$5+84),F41&gt;0)</formula>
    </cfRule>
  </conditionalFormatting>
  <conditionalFormatting sqref="W41">
    <cfRule type="expression" priority="1064" dxfId="3">
      <formula>=AND(G41&lt;('تنظیمات'!$C$5+98),H41&gt;('تنظیمات'!$C$5+91),F41&gt;0)</formula>
    </cfRule>
  </conditionalFormatting>
  <conditionalFormatting sqref="X41">
    <cfRule type="expression" priority="1065" dxfId="3">
      <formula>=AND(G41&lt;('تنظیمات'!$C$5+105),H41&gt;('تنظیمات'!$C$5+98),F41&gt;0)</formula>
    </cfRule>
  </conditionalFormatting>
  <conditionalFormatting sqref="Y41">
    <cfRule type="expression" priority="1066" dxfId="3">
      <formula>=AND(G41&lt;('تنظیمات'!$C$5+112),H41&gt;('تنظیمات'!$C$5+105),F41&gt;0)</formula>
    </cfRule>
  </conditionalFormatting>
  <conditionalFormatting sqref="Z41">
    <cfRule type="expression" priority="1067" dxfId="3">
      <formula>=AND(G41&lt;('تنظیمات'!$C$5+119),H41&gt;('تنظیمات'!$C$5+112),F41&gt;0)</formula>
    </cfRule>
  </conditionalFormatting>
  <conditionalFormatting sqref="AA41">
    <cfRule type="expression" priority="1068" dxfId="3">
      <formula>=AND(G41&lt;('تنظیمات'!$C$5+126),H41&gt;('تنظیمات'!$C$5+119),F41&gt;0)</formula>
    </cfRule>
  </conditionalFormatting>
  <conditionalFormatting sqref="AB41">
    <cfRule type="expression" priority="1069" dxfId="3">
      <formula>=AND(G41&lt;('تنظیمات'!$C$5+133),H41&gt;('تنظیمات'!$C$5+126),F41&gt;0)</formula>
    </cfRule>
  </conditionalFormatting>
  <conditionalFormatting sqref="AC41">
    <cfRule type="expression" priority="1070" dxfId="3">
      <formula>=AND(G41&lt;('تنظیمات'!$C$5+140),H41&gt;('تنظیمات'!$C$5+133),F41&gt;0)</formula>
    </cfRule>
  </conditionalFormatting>
  <conditionalFormatting sqref="AD41">
    <cfRule type="expression" priority="1071" dxfId="3">
      <formula>=AND(G41&lt;('تنظیمات'!$C$5+147),H41&gt;('تنظیمات'!$C$5+140),F41&gt;0)</formula>
    </cfRule>
  </conditionalFormatting>
  <conditionalFormatting sqref="AE41">
    <cfRule type="expression" priority="1072" dxfId="3">
      <formula>=AND(G41&lt;('تنظیمات'!$C$5+154),H41&gt;('تنظیمات'!$C$5+147),F41&gt;0)</formula>
    </cfRule>
  </conditionalFormatting>
  <conditionalFormatting sqref="AF41">
    <cfRule type="expression" priority="1073" dxfId="3">
      <formula>=AND(G41&lt;('تنظیمات'!$C$5+161),H41&gt;('تنظیمات'!$C$5+154),F41&gt;0)</formula>
    </cfRule>
  </conditionalFormatting>
  <conditionalFormatting sqref="AG41">
    <cfRule type="expression" priority="1074" dxfId="3">
      <formula>=AND(G41&lt;('تنظیمات'!$C$5+168),H41&gt;('تنظیمات'!$C$5+161),F41&gt;0)</formula>
    </cfRule>
  </conditionalFormatting>
  <conditionalFormatting sqref="AH41">
    <cfRule type="expression" priority="1075" dxfId="3">
      <formula>=AND(G41&lt;('تنظیمات'!$C$5+175),H41&gt;('تنظیمات'!$C$5+168),F41&gt;0)</formula>
    </cfRule>
  </conditionalFormatting>
  <conditionalFormatting sqref="AI41">
    <cfRule type="expression" priority="1076" dxfId="3">
      <formula>=AND(G41&lt;('تنظیمات'!$C$5+182),H41&gt;('تنظیمات'!$C$5+175),F41&gt;0)</formula>
    </cfRule>
  </conditionalFormatting>
  <conditionalFormatting sqref="AJ41">
    <cfRule type="expression" priority="1077" dxfId="3">
      <formula>=AND(G41&lt;('تنظیمات'!$C$5+189),H41&gt;('تنظیمات'!$C$5+182),F41&gt;0)</formula>
    </cfRule>
  </conditionalFormatting>
  <conditionalFormatting sqref="AK41">
    <cfRule type="expression" priority="1078" dxfId="3">
      <formula>=AND(G41&lt;('تنظیمات'!$C$5+196),H41&gt;('تنظیمات'!$C$5+189),F41&gt;0)</formula>
    </cfRule>
  </conditionalFormatting>
  <conditionalFormatting sqref="AL41">
    <cfRule type="expression" priority="1079" dxfId="3">
      <formula>=AND(G41&lt;('تنظیمات'!$C$5+203),H41&gt;('تنظیمات'!$C$5+196),F41&gt;0)</formula>
    </cfRule>
  </conditionalFormatting>
  <conditionalFormatting sqref="AM41">
    <cfRule type="expression" priority="1080" dxfId="3">
      <formula>=AND(G41&lt;('تنظیمات'!$C$5+210),H41&gt;('تنظیمات'!$C$5+203),F41&gt;0)</formula>
    </cfRule>
  </conditionalFormatting>
  <conditionalFormatting sqref="J42">
    <cfRule type="expression" priority="1081" dxfId="1">
      <formula>=AND(G42&gt;=('تنظیمات'!$C$5+0),G42&lt;('تنظیمات'!$C$5+7))</formula>
    </cfRule>
  </conditionalFormatting>
  <conditionalFormatting sqref="K42">
    <cfRule type="expression" priority="1082" dxfId="1">
      <formula>=AND(G42&gt;=('تنظیمات'!$C$5+7),G42&lt;('تنظیمات'!$C$5+14))</formula>
    </cfRule>
  </conditionalFormatting>
  <conditionalFormatting sqref="L42">
    <cfRule type="expression" priority="1083" dxfId="1">
      <formula>=AND(G42&gt;=('تنظیمات'!$C$5+14),G42&lt;('تنظیمات'!$C$5+21))</formula>
    </cfRule>
  </conditionalFormatting>
  <conditionalFormatting sqref="M42">
    <cfRule type="expression" priority="1084" dxfId="1">
      <formula>=AND(G42&gt;=('تنظیمات'!$C$5+21),G42&lt;('تنظیمات'!$C$5+28))</formula>
    </cfRule>
  </conditionalFormatting>
  <conditionalFormatting sqref="N42">
    <cfRule type="expression" priority="1085" dxfId="1">
      <formula>=AND(G42&gt;=('تنظیمات'!$C$5+28),G42&lt;('تنظیمات'!$C$5+35))</formula>
    </cfRule>
  </conditionalFormatting>
  <conditionalFormatting sqref="O42">
    <cfRule type="expression" priority="1086" dxfId="1">
      <formula>=AND(G42&gt;=('تنظیمات'!$C$5+35),G42&lt;('تنظیمات'!$C$5+42))</formula>
    </cfRule>
  </conditionalFormatting>
  <conditionalFormatting sqref="P42">
    <cfRule type="expression" priority="1087" dxfId="1">
      <formula>=AND(G42&gt;=('تنظیمات'!$C$5+42),G42&lt;('تنظیمات'!$C$5+49))</formula>
    </cfRule>
  </conditionalFormatting>
  <conditionalFormatting sqref="Q42">
    <cfRule type="expression" priority="1088" dxfId="1">
      <formula>=AND(G42&gt;=('تنظیمات'!$C$5+49),G42&lt;('تنظیمات'!$C$5+56))</formula>
    </cfRule>
  </conditionalFormatting>
  <conditionalFormatting sqref="R42">
    <cfRule type="expression" priority="1089" dxfId="1">
      <formula>=AND(G42&gt;=('تنظیمات'!$C$5+56),G42&lt;('تنظیمات'!$C$5+63))</formula>
    </cfRule>
  </conditionalFormatting>
  <conditionalFormatting sqref="S42">
    <cfRule type="expression" priority="1090" dxfId="1">
      <formula>=AND(G42&gt;=('تنظیمات'!$C$5+63),G42&lt;('تنظیمات'!$C$5+70))</formula>
    </cfRule>
  </conditionalFormatting>
  <conditionalFormatting sqref="T42">
    <cfRule type="expression" priority="1091" dxfId="1">
      <formula>=AND(G42&gt;=('تنظیمات'!$C$5+70),G42&lt;('تنظیمات'!$C$5+77))</formula>
    </cfRule>
  </conditionalFormatting>
  <conditionalFormatting sqref="U42">
    <cfRule type="expression" priority="1092" dxfId="1">
      <formula>=AND(G42&gt;=('تنظیمات'!$C$5+77),G42&lt;('تنظیمات'!$C$5+84))</formula>
    </cfRule>
  </conditionalFormatting>
  <conditionalFormatting sqref="V42">
    <cfRule type="expression" priority="1093" dxfId="1">
      <formula>=AND(G42&gt;=('تنظیمات'!$C$5+84),G42&lt;('تنظیمات'!$C$5+91))</formula>
    </cfRule>
  </conditionalFormatting>
  <conditionalFormatting sqref="W42">
    <cfRule type="expression" priority="1094" dxfId="1">
      <formula>=AND(G42&gt;=('تنظیمات'!$C$5+91),G42&lt;('تنظیمات'!$C$5+98))</formula>
    </cfRule>
  </conditionalFormatting>
  <conditionalFormatting sqref="X42">
    <cfRule type="expression" priority="1095" dxfId="1">
      <formula>=AND(G42&gt;=('تنظیمات'!$C$5+98),G42&lt;('تنظیمات'!$C$5+105))</formula>
    </cfRule>
  </conditionalFormatting>
  <conditionalFormatting sqref="Y42">
    <cfRule type="expression" priority="1096" dxfId="1">
      <formula>=AND(G42&gt;=('تنظیمات'!$C$5+105),G42&lt;('تنظیمات'!$C$5+112))</formula>
    </cfRule>
  </conditionalFormatting>
  <conditionalFormatting sqref="Z42">
    <cfRule type="expression" priority="1097" dxfId="1">
      <formula>=AND(G42&gt;=('تنظیمات'!$C$5+112),G42&lt;('تنظیمات'!$C$5+119))</formula>
    </cfRule>
  </conditionalFormatting>
  <conditionalFormatting sqref="AA42">
    <cfRule type="expression" priority="1098" dxfId="1">
      <formula>=AND(G42&gt;=('تنظیمات'!$C$5+119),G42&lt;('تنظیمات'!$C$5+126))</formula>
    </cfRule>
  </conditionalFormatting>
  <conditionalFormatting sqref="AB42">
    <cfRule type="expression" priority="1099" dxfId="1">
      <formula>=AND(G42&gt;=('تنظیمات'!$C$5+126),G42&lt;('تنظیمات'!$C$5+133))</formula>
    </cfRule>
  </conditionalFormatting>
  <conditionalFormatting sqref="AC42">
    <cfRule type="expression" priority="1100" dxfId="1">
      <formula>=AND(G42&gt;=('تنظیمات'!$C$5+133),G42&lt;('تنظیمات'!$C$5+140))</formula>
    </cfRule>
  </conditionalFormatting>
  <conditionalFormatting sqref="AD42">
    <cfRule type="expression" priority="1101" dxfId="1">
      <formula>=AND(G42&gt;=('تنظیمات'!$C$5+140),G42&lt;('تنظیمات'!$C$5+147))</formula>
    </cfRule>
  </conditionalFormatting>
  <conditionalFormatting sqref="AE42">
    <cfRule type="expression" priority="1102" dxfId="1">
      <formula>=AND(G42&gt;=('تنظیمات'!$C$5+147),G42&lt;('تنظیمات'!$C$5+154))</formula>
    </cfRule>
  </conditionalFormatting>
  <conditionalFormatting sqref="AF42">
    <cfRule type="expression" priority="1103" dxfId="1">
      <formula>=AND(G42&gt;=('تنظیمات'!$C$5+154),G42&lt;('تنظیمات'!$C$5+161))</formula>
    </cfRule>
  </conditionalFormatting>
  <conditionalFormatting sqref="AG42">
    <cfRule type="expression" priority="1104" dxfId="1">
      <formula>=AND(G42&gt;=('تنظیمات'!$C$5+161),G42&lt;('تنظیمات'!$C$5+168))</formula>
    </cfRule>
  </conditionalFormatting>
  <conditionalFormatting sqref="AH42">
    <cfRule type="expression" priority="1105" dxfId="1">
      <formula>=AND(G42&gt;=('تنظیمات'!$C$5+168),G42&lt;('تنظیمات'!$C$5+175))</formula>
    </cfRule>
  </conditionalFormatting>
  <conditionalFormatting sqref="AI42">
    <cfRule type="expression" priority="1106" dxfId="1">
      <formula>=AND(G42&gt;=('تنظیمات'!$C$5+175),G42&lt;('تنظیمات'!$C$5+182))</formula>
    </cfRule>
  </conditionalFormatting>
  <conditionalFormatting sqref="AJ42">
    <cfRule type="expression" priority="1107" dxfId="1">
      <formula>=AND(G42&gt;=('تنظیمات'!$C$5+182),G42&lt;('تنظیمات'!$C$5+189))</formula>
    </cfRule>
  </conditionalFormatting>
  <conditionalFormatting sqref="AK42">
    <cfRule type="expression" priority="1108" dxfId="1">
      <formula>=AND(G42&gt;=('تنظیمات'!$C$5+189),G42&lt;('تنظیمات'!$C$5+196))</formula>
    </cfRule>
  </conditionalFormatting>
  <conditionalFormatting sqref="AL42">
    <cfRule type="expression" priority="1109" dxfId="1">
      <formula>=AND(G42&gt;=('تنظیمات'!$C$5+196),G42&lt;('تنظیمات'!$C$5+203))</formula>
    </cfRule>
  </conditionalFormatting>
  <conditionalFormatting sqref="AM42">
    <cfRule type="expression" priority="1110" dxfId="1">
      <formula>=AND(G42&gt;=('تنظیمات'!$C$5+203),G42&lt;('تنظیمات'!$C$5+210))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13"/>
  <sheetViews>
    <sheetView showGridLines="0"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8" customWidth="1" min="3" max="3"/>
    <col width="23" customWidth="1" min="4" max="4"/>
  </cols>
  <sheetData>
    <row r="1" ht="15" customHeight="1"/>
    <row r="2" ht="32" customHeight="1">
      <c r="B2" s="1" t="inlineStr">
        <is>
          <t>خلاصه زمان‌بندی پروژه</t>
        </is>
      </c>
    </row>
    <row r="3" ht="8" customHeight="1"/>
    <row r="4" ht="28" customHeight="1">
      <c r="B4" s="2" t="inlineStr">
        <is>
          <t>شاخص</t>
        </is>
      </c>
      <c r="C4" s="2" t="inlineStr">
        <is>
          <t>مقدار</t>
        </is>
      </c>
      <c r="D4" s="2" t="inlineStr">
        <is>
          <t>توضیح</t>
        </is>
      </c>
    </row>
    <row r="5" ht="22" customHeight="1">
      <c r="B5" s="3" t="inlineStr">
        <is>
          <t>تاریخ شروع پروژه</t>
        </is>
      </c>
      <c r="C5" s="4">
        <f>'تنظیمات'!$C$5</f>
        <v/>
      </c>
      <c r="D5" s="3" t="inlineStr">
        <is>
          <t>شروع فاز ۱</t>
        </is>
      </c>
    </row>
    <row r="6" ht="22" customHeight="1">
      <c r="B6" s="5" t="inlineStr">
        <is>
          <t>تاریخ تحویل MVP (فاز ۱)</t>
        </is>
      </c>
      <c r="C6" s="31">
        <f>'گانت چارت'!G23</f>
        <v/>
      </c>
      <c r="D6" s="5" t="inlineStr">
        <is>
          <t>پایان فاز ۱</t>
        </is>
      </c>
    </row>
    <row r="7" ht="22" customHeight="1">
      <c r="B7" s="3" t="inlineStr">
        <is>
          <t>تاریخ تحویل نهایی (فاز ۲)</t>
        </is>
      </c>
      <c r="C7" s="4">
        <f>'گانت چارت'!G42</f>
        <v/>
      </c>
      <c r="D7" s="3" t="inlineStr">
        <is>
          <t>پایان فاز ۲</t>
        </is>
      </c>
    </row>
    <row r="8" ht="22" customHeight="1">
      <c r="B8" s="5" t="inlineStr">
        <is>
          <t>مدت فاز ۱ (روز)</t>
        </is>
      </c>
      <c r="C8" s="32">
        <f>'گانت چارت'!G23-'تنظیمات'!$C$5</f>
        <v/>
      </c>
      <c r="D8" s="5" t="inlineStr">
        <is>
          <t>از شروع تا MVP</t>
        </is>
      </c>
    </row>
    <row r="9" ht="22" customHeight="1">
      <c r="B9" s="3" t="inlineStr">
        <is>
          <t>مدت فاز ۲ (روز)</t>
        </is>
      </c>
      <c r="C9" s="33">
        <f>'گانت چارت'!G42-'گانت چارت'!G23</f>
        <v/>
      </c>
      <c r="D9" s="3" t="inlineStr">
        <is>
          <t>از MVP تا تحویل نهایی</t>
        </is>
      </c>
    </row>
    <row r="10" ht="22" customHeight="1">
      <c r="B10" s="5" t="inlineStr">
        <is>
          <t>مدت کل پروژه (روز)</t>
        </is>
      </c>
      <c r="C10" s="32">
        <f>'گانت چارت'!G42-'تنظیمات'!$C$5</f>
        <v/>
      </c>
      <c r="D10" s="5" t="inlineStr">
        <is>
          <t>از شروع تا پایان</t>
        </is>
      </c>
    </row>
    <row r="11" ht="22" customHeight="1">
      <c r="B11" s="3" t="inlineStr">
        <is>
          <t>تعداد تسک‌های فاز ۱</t>
        </is>
      </c>
      <c r="C11" s="7">
        <f>COUNTIF('گانت چارت'!D6:D42,"فاز ۱")</f>
        <v/>
      </c>
      <c r="D11" s="3" t="inlineStr">
        <is>
          <t>هسته + استاندارد</t>
        </is>
      </c>
    </row>
    <row r="12" ht="22" customHeight="1">
      <c r="B12" s="5" t="inlineStr">
        <is>
          <t>تعداد تسک‌های فاز ۲</t>
        </is>
      </c>
      <c r="C12" s="6">
        <f>COUNTIF('گانت چارت'!D6:D42,"فاز ۲")</f>
        <v/>
      </c>
      <c r="D12" s="5" t="inlineStr">
        <is>
          <t>هوشمند + تست</t>
        </is>
      </c>
    </row>
    <row r="13" ht="22" customHeight="1">
      <c r="B13" s="3" t="inlineStr">
        <is>
          <t>تعداد کل تسک‌ها</t>
        </is>
      </c>
      <c r="C13" s="7" t="n">
        <v>37</v>
      </c>
      <c r="D13" s="3" t="inlineStr">
        <is>
          <t>شامل مایل‌ستون‌ها</t>
        </is>
      </c>
    </row>
  </sheetData>
  <mergeCells count="1"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Ymax</dc:creator>
  <dc:title xmlns:dc="http://purl.org/dc/elements/1.1/">گانت چارت پروژه LMS مگفا</dc:title>
  <dcterms:created xmlns:dcterms="http://purl.org/dc/terms/" xmlns:xsi="http://www.w3.org/2001/XMLSchema-instance" xsi:type="dcterms:W3CDTF">2026-09-05T05:30:19Z</dcterms:created>
  <dcterms:modified xmlns:dcterms="http://purl.org/dc/terms/" xmlns:xsi="http://www.w3.org/2001/XMLSchema-instance" xsi:type="dcterms:W3CDTF">2026-09-05T05:30:19Z</dcterms:modified>
</cp:coreProperties>
</file>