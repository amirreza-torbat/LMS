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نظیمات" sheetId="1" state="visible" r:id="rId1"/>
    <sheet xmlns:r="http://schemas.openxmlformats.org/officeDocument/2006/relationships" name="گانت چارت" sheetId="2" state="visible" r:id="rId2"/>
    <sheet xmlns:r="http://schemas.openxmlformats.org/officeDocument/2006/relationships" name="خلاصه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9">
    <font>
      <name val="Calibri"/>
      <family val="2"/>
      <color theme="1"/>
      <sz val="11"/>
      <scheme val="minor"/>
    </font>
    <font>
      <name val="Noto Sans CJK SC"/>
      <color rgb="001B2A4A"/>
      <sz val="16"/>
    </font>
    <font>
      <name val="Noto Sans CJK SC"/>
      <color rgb="00FFFFFF"/>
      <sz val="11"/>
    </font>
    <font>
      <name val="Noto Sans CJK SC"/>
      <color rgb="0037352F"/>
      <sz val="11"/>
    </font>
    <font>
      <name val="Noto Sans CJK SC"/>
      <b val="1"/>
      <color rgb="001B2A4A"/>
      <sz val="11"/>
    </font>
    <font>
      <name val="Noto Sans CJK SC"/>
      <b val="1"/>
      <color rgb="00FFFFFF"/>
      <sz val="10"/>
    </font>
    <font>
      <name val="Noto Sans CJK SC"/>
      <b val="1"/>
      <color rgb="00FFFFFF"/>
      <sz val="9"/>
    </font>
    <font>
      <name val="Noto Sans CJK SC"/>
      <color rgb="0037352F"/>
      <sz val="10"/>
    </font>
    <font>
      <name val="Noto Sans CJK SC"/>
      <b val="1"/>
      <color rgb="001B2A4A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D6E4F0"/>
      </patternFill>
    </fill>
    <fill>
      <patternFill patternType="solid">
        <fgColor rgb="00E1D5E7"/>
      </patternFill>
    </fill>
    <fill>
      <gradientFill type="linear" degree="90">
        <stop position="0">
          <color rgb="003B82F6"/>
        </stop>
        <stop position="1">
          <color rgb="001B2A4A"/>
        </stop>
      </gradientFill>
    </fill>
    <fill>
      <patternFill patternType="solid">
        <fgColor rgb="00F8FAFC"/>
      </patternFill>
    </fill>
    <fill>
      <gradientFill type="linear" degree="90">
        <stop position="0">
          <color rgb="00EF4444"/>
        </stop>
        <stop position="1">
          <color rgb="00C0392B"/>
        </stop>
      </gradientFill>
    </fill>
    <fill>
      <gradientFill type="linear" degree="90">
        <stop position="0">
          <color rgb="00A855F7"/>
        </stop>
        <stop position="1">
          <color rgb="008E44AD"/>
        </stop>
      </gradientFill>
    </fill>
    <fill>
      <gradientFill type="linear" degree="90">
        <stop position="0">
          <color rgb="00F59E0B"/>
        </stop>
        <stop position="1">
          <color rgb="00D4820A"/>
        </stop>
      </gradientFill>
    </fill>
  </fills>
  <borders count="5">
    <border>
      <left/>
      <right/>
      <top/>
      <bottom/>
      <diagonal/>
    </border>
    <border>
      <bottom style="thin">
        <color rgb="00E9E9E8"/>
      </bottom>
    </border>
    <border>
      <left style="medium">
        <color rgb="001B2A4A"/>
      </left>
      <right style="medium">
        <color rgb="001B2A4A"/>
      </right>
      <top style="medium">
        <color rgb="001B2A4A"/>
      </top>
      <bottom style="medium">
        <color rgb="001B2A4A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165" fontId="4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right" vertical="center" wrapText="1"/>
    </xf>
    <xf numFmtId="0" fontId="8" fillId="3" borderId="4" applyAlignment="1" pivotButton="0" quotePrefix="0" xfId="0">
      <alignment horizontal="center" vertical="center" wrapText="1"/>
    </xf>
    <xf numFmtId="165" fontId="7" fillId="3" borderId="4" applyAlignment="1" pivotButton="0" quotePrefix="0" xfId="0">
      <alignment horizontal="center" vertical="center" wrapText="1"/>
    </xf>
    <xf numFmtId="0" fontId="0" fillId="7" borderId="4" pivotButton="0" quotePrefix="0" xfId="0"/>
    <xf numFmtId="0" fontId="0" fillId="0" borderId="4" pivotButton="0" quotePrefix="0" xfId="0"/>
    <xf numFmtId="0" fontId="7" fillId="8" borderId="4" applyAlignment="1" pivotButton="0" quotePrefix="0" xfId="0">
      <alignment horizontal="center" vertical="center" wrapText="1"/>
    </xf>
    <xf numFmtId="0" fontId="7" fillId="8" borderId="4" applyAlignment="1" pivotButton="0" quotePrefix="0" xfId="0">
      <alignment horizontal="right" vertical="center" wrapText="1"/>
    </xf>
    <xf numFmtId="0" fontId="8" fillId="8" borderId="4" applyAlignment="1" pivotButton="0" quotePrefix="0" xfId="0">
      <alignment horizontal="center" vertical="center" wrapText="1"/>
    </xf>
    <xf numFmtId="165" fontId="7" fillId="8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right" vertical="center" wrapText="1"/>
    </xf>
    <xf numFmtId="165" fontId="8" fillId="5" borderId="4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/>
    </xf>
    <xf numFmtId="0" fontId="0" fillId="10" borderId="4" pivotButton="0" quotePrefix="0" xfId="0"/>
    <xf numFmtId="0" fontId="0" fillId="11" borderId="4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9" borderId="4" pivotButton="0" quotePrefix="0" xfId="0"/>
    <xf numFmtId="165" fontId="4" fillId="4" borderId="0" applyAlignment="1" pivotButton="0" quotePrefix="0" xfId="0">
      <alignment horizontal="center" vertical="center"/>
    </xf>
    <xf numFmtId="1" fontId="4" fillId="4" borderId="0" applyAlignment="1" pivotButton="0" quotePrefix="0" xfId="0">
      <alignment horizontal="center" vertical="center"/>
    </xf>
    <xf numFmtId="1" fontId="4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1B2A4A"/>
        </patternFill>
      </fill>
    </dxf>
    <dxf>
      <fill>
        <patternFill patternType="solid">
          <fgColor rgb="00C0392B"/>
        </patternFill>
      </fill>
    </dxf>
    <dxf>
      <fill>
        <patternFill patternType="solid">
          <fgColor rgb="008E44AD"/>
        </patternFill>
      </fill>
    </dxf>
    <dxf>
      <fill>
        <patternFill patternType="solid">
          <fgColor rgb="00D4820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0"/>
  <sheetViews>
    <sheetView showGridLines="0"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21" customWidth="1" min="3" max="3"/>
    <col width="45" customWidth="1" min="4" max="4"/>
  </cols>
  <sheetData>
    <row r="1" ht="15" customHeight="1"/>
    <row r="2" ht="32" customHeight="1">
      <c r="B2" s="1" t="inlineStr">
        <is>
          <t>تنظیمات پروژه — قابل ویرایش</t>
        </is>
      </c>
    </row>
    <row r="3" ht="8" customHeight="1"/>
    <row r="4" ht="28" customHeight="1">
      <c r="B4" s="2" t="inlineStr">
        <is>
          <t>پارامتر</t>
        </is>
      </c>
      <c r="C4" s="2" t="inlineStr">
        <is>
          <t>مقدار</t>
        </is>
      </c>
      <c r="D4" s="2" t="inlineStr">
        <is>
          <t>توضیح</t>
        </is>
      </c>
    </row>
    <row r="5" ht="22" customHeight="1">
      <c r="B5" s="3" t="inlineStr">
        <is>
          <t>تاریخ شروع پروژه</t>
        </is>
      </c>
      <c r="C5" s="4" t="n">
        <v>46288</v>
      </c>
      <c r="D5" s="3" t="inlineStr">
        <is>
          <t>تاریخ شروع فاز ۱ (قابل تغییر)</t>
        </is>
      </c>
    </row>
    <row r="6" ht="22" customHeight="1">
      <c r="B6" s="5" t="inlineStr">
        <is>
          <t>روزهای کاری در هفته</t>
        </is>
      </c>
      <c r="C6" s="6" t="n">
        <v>6</v>
      </c>
      <c r="D6" s="5" t="inlineStr">
        <is>
          <t>شنبه تا چهارشنبه</t>
        </is>
      </c>
    </row>
    <row r="7" ht="22" customHeight="1">
      <c r="B7" s="3" t="inlineStr">
        <is>
          <t>فاز ۱ — مدت (روز)</t>
        </is>
      </c>
      <c r="C7" s="7" t="n">
        <v>90</v>
      </c>
      <c r="D7" s="3" t="inlineStr">
        <is>
          <t>هسته + استاندارد سازمانی + استاندارد آکادمیک</t>
        </is>
      </c>
    </row>
    <row r="8" ht="22" customHeight="1">
      <c r="B8" s="5" t="inlineStr">
        <is>
          <t>فاز ۲ — مدت (روز)</t>
        </is>
      </c>
      <c r="C8" s="6" t="n">
        <v>90</v>
      </c>
      <c r="D8" s="5" t="inlineStr">
        <is>
          <t>هوشمند سازمانی + تست و استقرار</t>
        </is>
      </c>
    </row>
    <row r="9" ht="22" customHeight="1">
      <c r="B9" s="3" t="inlineStr">
        <is>
          <t>دوره تست و دیباگ (روز)</t>
        </is>
      </c>
      <c r="C9" s="7" t="n">
        <v>60</v>
      </c>
      <c r="D9" s="3" t="inlineStr">
        <is>
          <t>پس از تحویل نهایی</t>
        </is>
      </c>
    </row>
    <row r="10" ht="22" customHeight="1">
      <c r="B10" s="5" t="inlineStr">
        <is>
          <t>مقیاس نمایش (روز/ستون)</t>
        </is>
      </c>
      <c r="C10" s="6" t="n">
        <v>5</v>
      </c>
      <c r="D10" s="5" t="inlineStr">
        <is>
          <t>هر ستون = 5 روز تقویمی</t>
        </is>
      </c>
    </row>
  </sheetData>
  <mergeCells count="1"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W46"/>
  <sheetViews>
    <sheetView showGridLines="0" rightToLeft="1"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30" customWidth="1" min="3" max="3"/>
    <col width="9" customWidth="1" min="4" max="4"/>
    <col width="16" customWidth="1" min="5" max="5"/>
    <col width="8" customWidth="1" min="6" max="6"/>
    <col width="13" customWidth="1" min="7" max="7"/>
    <col width="13" customWidth="1" min="8" max="8"/>
    <col width="12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</cols>
  <sheetData>
    <row r="1" ht="15" customHeight="1"/>
    <row r="2" ht="32" customHeight="1">
      <c r="B2" s="1" t="inlineStr">
        <is>
          <t>گانت چارت پروژه LMS مگفا — دو فازی (دقیق)</t>
        </is>
      </c>
    </row>
    <row r="3" ht="24" customHeight="1">
      <c r="J3" s="8" t="inlineStr">
        <is>
          <t>فاز ۱: هسته + استاندارد</t>
        </is>
      </c>
      <c r="AA3" s="9" t="inlineStr">
        <is>
          <t>فاز ۲: هوشمند + تست</t>
        </is>
      </c>
    </row>
    <row r="4" ht="22" customHeight="1">
      <c r="J4" s="10" t="inlineStr">
        <is>
          <t>ماه ۱</t>
        </is>
      </c>
      <c r="P4" s="10" t="inlineStr">
        <is>
          <t>ماه ۲</t>
        </is>
      </c>
      <c r="V4" s="10" t="inlineStr">
        <is>
          <t>ماه ۳</t>
        </is>
      </c>
      <c r="AB4" s="10" t="inlineStr">
        <is>
          <t>ماه ۴</t>
        </is>
      </c>
      <c r="AH4" s="10" t="inlineStr">
        <is>
          <t>ماه ۵</t>
        </is>
      </c>
      <c r="AN4" s="10" t="inlineStr">
        <is>
          <t>ماه ۶</t>
        </is>
      </c>
      <c r="AT4" s="10" t="inlineStr">
        <is>
          <t>ماه ۷</t>
        </is>
      </c>
    </row>
    <row r="5" ht="24" customHeight="1">
      <c r="B5" s="11" t="inlineStr">
        <is>
          <t>کد</t>
        </is>
      </c>
      <c r="C5" s="11" t="inlineStr">
        <is>
          <t>نام تسک</t>
        </is>
      </c>
      <c r="D5" s="11" t="inlineStr">
        <is>
          <t>فاز</t>
        </is>
      </c>
      <c r="E5" s="11" t="inlineStr">
        <is>
          <t>لایه</t>
        </is>
      </c>
      <c r="F5" s="11" t="inlineStr">
        <is>
          <t>مدت
(روز)</t>
        </is>
      </c>
      <c r="G5" s="11" t="inlineStr">
        <is>
          <t>تاریخ شروع</t>
        </is>
      </c>
      <c r="H5" s="11" t="inlineStr">
        <is>
          <t>تاریخ پایان</t>
        </is>
      </c>
      <c r="I5" s="11" t="inlineStr">
        <is>
          <t>وابستگی</t>
        </is>
      </c>
      <c r="J5" s="11" t="inlineStr">
        <is>
          <t>D5</t>
        </is>
      </c>
      <c r="K5" s="11" t="inlineStr">
        <is>
          <t>D10</t>
        </is>
      </c>
      <c r="L5" s="11" t="inlineStr">
        <is>
          <t>D15</t>
        </is>
      </c>
      <c r="M5" s="11" t="inlineStr">
        <is>
          <t>D20</t>
        </is>
      </c>
      <c r="N5" s="11" t="inlineStr">
        <is>
          <t>D25</t>
        </is>
      </c>
      <c r="O5" s="11" t="inlineStr">
        <is>
          <t>D30</t>
        </is>
      </c>
      <c r="P5" s="11" t="inlineStr">
        <is>
          <t>D35</t>
        </is>
      </c>
      <c r="Q5" s="11" t="inlineStr">
        <is>
          <t>D40</t>
        </is>
      </c>
      <c r="R5" s="11" t="inlineStr">
        <is>
          <t>D45</t>
        </is>
      </c>
      <c r="S5" s="11" t="inlineStr">
        <is>
          <t>D50</t>
        </is>
      </c>
      <c r="T5" s="11" t="inlineStr">
        <is>
          <t>D55</t>
        </is>
      </c>
      <c r="U5" s="11" t="inlineStr">
        <is>
          <t>D60</t>
        </is>
      </c>
      <c r="V5" s="11" t="inlineStr">
        <is>
          <t>D65</t>
        </is>
      </c>
      <c r="W5" s="11" t="inlineStr">
        <is>
          <t>D70</t>
        </is>
      </c>
      <c r="X5" s="11" t="inlineStr">
        <is>
          <t>D75</t>
        </is>
      </c>
      <c r="Y5" s="11" t="inlineStr">
        <is>
          <t>D80</t>
        </is>
      </c>
      <c r="Z5" s="11" t="inlineStr">
        <is>
          <t>D85</t>
        </is>
      </c>
      <c r="AA5" s="11" t="inlineStr">
        <is>
          <t>D90</t>
        </is>
      </c>
      <c r="AB5" s="11" t="inlineStr">
        <is>
          <t>D95</t>
        </is>
      </c>
      <c r="AC5" s="11" t="inlineStr">
        <is>
          <t>D100</t>
        </is>
      </c>
      <c r="AD5" s="11" t="inlineStr">
        <is>
          <t>D105</t>
        </is>
      </c>
      <c r="AE5" s="11" t="inlineStr">
        <is>
          <t>D110</t>
        </is>
      </c>
      <c r="AF5" s="11" t="inlineStr">
        <is>
          <t>D115</t>
        </is>
      </c>
      <c r="AG5" s="11" t="inlineStr">
        <is>
          <t>D120</t>
        </is>
      </c>
      <c r="AH5" s="11" t="inlineStr">
        <is>
          <t>D125</t>
        </is>
      </c>
      <c r="AI5" s="11" t="inlineStr">
        <is>
          <t>D130</t>
        </is>
      </c>
      <c r="AJ5" s="11" t="inlineStr">
        <is>
          <t>D135</t>
        </is>
      </c>
      <c r="AK5" s="11" t="inlineStr">
        <is>
          <t>D140</t>
        </is>
      </c>
      <c r="AL5" s="11" t="inlineStr">
        <is>
          <t>D145</t>
        </is>
      </c>
      <c r="AM5" s="11" t="inlineStr">
        <is>
          <t>D150</t>
        </is>
      </c>
      <c r="AN5" s="11" t="inlineStr">
        <is>
          <t>D155</t>
        </is>
      </c>
      <c r="AO5" s="11" t="inlineStr">
        <is>
          <t>D160</t>
        </is>
      </c>
      <c r="AP5" s="11" t="inlineStr">
        <is>
          <t>D165</t>
        </is>
      </c>
      <c r="AQ5" s="11" t="inlineStr">
        <is>
          <t>D170</t>
        </is>
      </c>
      <c r="AR5" s="11" t="inlineStr">
        <is>
          <t>D175</t>
        </is>
      </c>
      <c r="AS5" s="11" t="inlineStr">
        <is>
          <t>D180</t>
        </is>
      </c>
      <c r="AT5" s="11" t="inlineStr">
        <is>
          <t>D185</t>
        </is>
      </c>
      <c r="AU5" s="11" t="inlineStr">
        <is>
          <t>D190</t>
        </is>
      </c>
      <c r="AV5" s="11" t="inlineStr">
        <is>
          <t>D195</t>
        </is>
      </c>
      <c r="AW5" s="11" t="inlineStr">
        <is>
          <t>D200</t>
        </is>
      </c>
    </row>
    <row r="6" ht="26" customHeight="1">
      <c r="B6" s="12" t="inlineStr">
        <is>
          <t>P1-01</t>
        </is>
      </c>
      <c r="C6" s="13" t="inlineStr">
        <is>
          <t>تحلیل و طراحی معماری</t>
        </is>
      </c>
      <c r="D6" s="12" t="inlineStr">
        <is>
          <t>فاز ۱</t>
        </is>
      </c>
      <c r="E6" s="12" t="inlineStr">
        <is>
          <t>هسته</t>
        </is>
      </c>
      <c r="F6" s="14" t="n">
        <v>15</v>
      </c>
      <c r="G6" s="15">
        <f>'تنظیمات'!$C$5</f>
        <v/>
      </c>
      <c r="H6" s="15">
        <f>G6+F6</f>
        <v/>
      </c>
      <c r="I6" s="12" t="inlineStr"/>
      <c r="J6" s="16" t="n"/>
      <c r="K6" s="16" t="n"/>
      <c r="L6" s="16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</row>
    <row r="7" ht="26" customHeight="1">
      <c r="B7" s="18" t="inlineStr">
        <is>
          <t>P1-02</t>
        </is>
      </c>
      <c r="C7" s="19" t="inlineStr">
        <is>
          <t>مدیریت هویت و دسترسی (Auth)</t>
        </is>
      </c>
      <c r="D7" s="18" t="inlineStr">
        <is>
          <t>فاز ۱</t>
        </is>
      </c>
      <c r="E7" s="18" t="inlineStr">
        <is>
          <t>هسته</t>
        </is>
      </c>
      <c r="F7" s="20" t="n">
        <v>20</v>
      </c>
      <c r="G7" s="21">
        <f>MAX(H6)</f>
        <v/>
      </c>
      <c r="H7" s="21">
        <f>G7+F7</f>
        <v/>
      </c>
      <c r="I7" s="18" t="inlineStr">
        <is>
          <t>P1-01</t>
        </is>
      </c>
      <c r="J7" s="17" t="n"/>
      <c r="K7" s="17" t="n"/>
      <c r="L7" s="17" t="n"/>
      <c r="M7" s="16" t="n"/>
      <c r="N7" s="16" t="n"/>
      <c r="O7" s="16" t="n"/>
      <c r="P7" s="16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</row>
    <row r="8" ht="26" customHeight="1">
      <c r="B8" s="12" t="inlineStr">
        <is>
          <t>P1-03</t>
        </is>
      </c>
      <c r="C8" s="13" t="inlineStr">
        <is>
          <t>ساختار محتوا و دوره (Course Entity)</t>
        </is>
      </c>
      <c r="D8" s="12" t="inlineStr">
        <is>
          <t>فاز ۱</t>
        </is>
      </c>
      <c r="E8" s="12" t="inlineStr">
        <is>
          <t>هسته</t>
        </is>
      </c>
      <c r="F8" s="14" t="n">
        <v>20</v>
      </c>
      <c r="G8" s="15">
        <f>MAX(H6)</f>
        <v/>
      </c>
      <c r="H8" s="15">
        <f>G8+F8</f>
        <v/>
      </c>
      <c r="I8" s="12" t="inlineStr">
        <is>
          <t>P1-01</t>
        </is>
      </c>
      <c r="J8" s="17" t="n"/>
      <c r="K8" s="17" t="n"/>
      <c r="L8" s="17" t="n"/>
      <c r="M8" s="16" t="n"/>
      <c r="N8" s="16" t="n"/>
      <c r="O8" s="16" t="n"/>
      <c r="P8" s="16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</row>
    <row r="9" ht="26" customHeight="1">
      <c r="B9" s="18" t="inlineStr">
        <is>
          <t>P1-04</t>
        </is>
      </c>
      <c r="C9" s="19" t="inlineStr">
        <is>
          <t>زیرساخت ایونت (Event Bus)</t>
        </is>
      </c>
      <c r="D9" s="18" t="inlineStr">
        <is>
          <t>فاز ۱</t>
        </is>
      </c>
      <c r="E9" s="18" t="inlineStr">
        <is>
          <t>هسته</t>
        </is>
      </c>
      <c r="F9" s="20" t="n">
        <v>15</v>
      </c>
      <c r="G9" s="21">
        <f>MAX(H6)</f>
        <v/>
      </c>
      <c r="H9" s="21">
        <f>G9+F9</f>
        <v/>
      </c>
      <c r="I9" s="18" t="inlineStr">
        <is>
          <t>P1-01</t>
        </is>
      </c>
      <c r="J9" s="17" t="n"/>
      <c r="K9" s="17" t="n"/>
      <c r="L9" s="17" t="n"/>
      <c r="M9" s="16" t="n"/>
      <c r="N9" s="16" t="n"/>
      <c r="O9" s="16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</row>
    <row r="10" ht="26" customHeight="1">
      <c r="B10" s="12" t="inlineStr">
        <is>
          <t>P1-05</t>
        </is>
      </c>
      <c r="C10" s="13" t="inlineStr">
        <is>
          <t>تنظیمات و هسته مرکزی (Plugin Loader)</t>
        </is>
      </c>
      <c r="D10" s="12" t="inlineStr">
        <is>
          <t>فاز ۱</t>
        </is>
      </c>
      <c r="E10" s="12" t="inlineStr">
        <is>
          <t>هسته</t>
        </is>
      </c>
      <c r="F10" s="14" t="n">
        <v>15</v>
      </c>
      <c r="G10" s="15">
        <f>MAX(H6)</f>
        <v/>
      </c>
      <c r="H10" s="15">
        <f>G10+F10</f>
        <v/>
      </c>
      <c r="I10" s="12" t="inlineStr">
        <is>
          <t>P1-01</t>
        </is>
      </c>
      <c r="J10" s="17" t="n"/>
      <c r="K10" s="17" t="n"/>
      <c r="L10" s="17" t="n"/>
      <c r="M10" s="16" t="n"/>
      <c r="N10" s="16" t="n"/>
      <c r="O10" s="16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</row>
    <row r="11" ht="26" customHeight="1">
      <c r="B11" s="18" t="inlineStr">
        <is>
          <t>P1-06</t>
        </is>
      </c>
      <c r="C11" s="19" t="inlineStr">
        <is>
          <t>موتور محتوا (Content Delivery)</t>
        </is>
      </c>
      <c r="D11" s="18" t="inlineStr">
        <is>
          <t>فاز ۱</t>
        </is>
      </c>
      <c r="E11" s="18" t="inlineStr">
        <is>
          <t>هسته</t>
        </is>
      </c>
      <c r="F11" s="20" t="n">
        <v>20</v>
      </c>
      <c r="G11" s="21">
        <f>MAX(H8)</f>
        <v/>
      </c>
      <c r="H11" s="21">
        <f>G11+F11</f>
        <v/>
      </c>
      <c r="I11" s="18" t="inlineStr">
        <is>
          <t>P1-03</t>
        </is>
      </c>
      <c r="J11" s="17" t="n"/>
      <c r="K11" s="17" t="n"/>
      <c r="L11" s="17" t="n"/>
      <c r="M11" s="17" t="n"/>
      <c r="N11" s="17" t="n"/>
      <c r="O11" s="17" t="n"/>
      <c r="P11" s="17" t="n"/>
      <c r="Q11" s="16" t="n"/>
      <c r="R11" s="16" t="n"/>
      <c r="S11" s="16" t="n"/>
      <c r="T11" s="16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</row>
    <row r="12" ht="26" customHeight="1">
      <c r="B12" s="12" t="inlineStr">
        <is>
          <t>P1-07</t>
        </is>
      </c>
      <c r="C12" s="13" t="inlineStr">
        <is>
          <t>سیستم ارزیابی (Assessment)</t>
        </is>
      </c>
      <c r="D12" s="12" t="inlineStr">
        <is>
          <t>فاز ۱</t>
        </is>
      </c>
      <c r="E12" s="12" t="inlineStr">
        <is>
          <t>هسته</t>
        </is>
      </c>
      <c r="F12" s="14" t="n">
        <v>20</v>
      </c>
      <c r="G12" s="15">
        <f>MAX(H8)</f>
        <v/>
      </c>
      <c r="H12" s="15">
        <f>G12+F12</f>
        <v/>
      </c>
      <c r="I12" s="12" t="inlineStr">
        <is>
          <t>P1-03</t>
        </is>
      </c>
      <c r="J12" s="17" t="n"/>
      <c r="K12" s="17" t="n"/>
      <c r="L12" s="17" t="n"/>
      <c r="M12" s="17" t="n"/>
      <c r="N12" s="17" t="n"/>
      <c r="O12" s="17" t="n"/>
      <c r="P12" s="17" t="n"/>
      <c r="Q12" s="16" t="n"/>
      <c r="R12" s="16" t="n"/>
      <c r="S12" s="16" t="n"/>
      <c r="T12" s="16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</row>
    <row r="13" ht="26" customHeight="1">
      <c r="B13" s="18" t="inlineStr">
        <is>
          <t>P1-08</t>
        </is>
      </c>
      <c r="C13" s="19" t="inlineStr">
        <is>
          <t>صدور گواهی (Certification)</t>
        </is>
      </c>
      <c r="D13" s="18" t="inlineStr">
        <is>
          <t>فاز ۱</t>
        </is>
      </c>
      <c r="E13" s="18" t="inlineStr">
        <is>
          <t>هسته</t>
        </is>
      </c>
      <c r="F13" s="20" t="n">
        <v>15</v>
      </c>
      <c r="G13" s="21">
        <f>MAX(H8)</f>
        <v/>
      </c>
      <c r="H13" s="21">
        <f>G13+F13</f>
        <v/>
      </c>
      <c r="I13" s="18" t="inlineStr">
        <is>
          <t>P1-03</t>
        </is>
      </c>
      <c r="J13" s="17" t="n"/>
      <c r="K13" s="17" t="n"/>
      <c r="L13" s="17" t="n"/>
      <c r="M13" s="17" t="n"/>
      <c r="N13" s="17" t="n"/>
      <c r="O13" s="17" t="n"/>
      <c r="P13" s="17" t="n"/>
      <c r="Q13" s="16" t="n"/>
      <c r="R13" s="16" t="n"/>
      <c r="S13" s="16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</row>
    <row r="14" ht="26" customHeight="1">
      <c r="B14" s="12" t="inlineStr">
        <is>
          <t>P1-09</t>
        </is>
      </c>
      <c r="C14" s="13" t="inlineStr">
        <is>
          <t>داشبورد تعاملی</t>
        </is>
      </c>
      <c r="D14" s="12" t="inlineStr">
        <is>
          <t>فاز ۱</t>
        </is>
      </c>
      <c r="E14" s="12" t="inlineStr">
        <is>
          <t>هسته</t>
        </is>
      </c>
      <c r="F14" s="14" t="n">
        <v>15</v>
      </c>
      <c r="G14" s="15">
        <f>MAX(H7)</f>
        <v/>
      </c>
      <c r="H14" s="15">
        <f>G14+F14</f>
        <v/>
      </c>
      <c r="I14" s="12" t="inlineStr">
        <is>
          <t>P1-02</t>
        </is>
      </c>
      <c r="J14" s="17" t="n"/>
      <c r="K14" s="17" t="n"/>
      <c r="L14" s="17" t="n"/>
      <c r="M14" s="17" t="n"/>
      <c r="N14" s="17" t="n"/>
      <c r="O14" s="17" t="n"/>
      <c r="P14" s="17" t="n"/>
      <c r="Q14" s="16" t="n"/>
      <c r="R14" s="16" t="n"/>
      <c r="S14" s="16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17" t="n"/>
      <c r="AM14" s="17" t="n"/>
      <c r="AN14" s="17" t="n"/>
      <c r="AO14" s="17" t="n"/>
      <c r="AP14" s="17" t="n"/>
      <c r="AQ14" s="17" t="n"/>
      <c r="AR14" s="17" t="n"/>
      <c r="AS14" s="17" t="n"/>
      <c r="AT14" s="17" t="n"/>
      <c r="AU14" s="17" t="n"/>
      <c r="AV14" s="17" t="n"/>
      <c r="AW14" s="17" t="n"/>
    </row>
    <row r="15" ht="26" customHeight="1">
      <c r="B15" s="18" t="inlineStr">
        <is>
          <t>P1-10</t>
        </is>
      </c>
      <c r="C15" s="19" t="inlineStr">
        <is>
          <t>ساختار سازمانی (Hierarchy + RBAC)</t>
        </is>
      </c>
      <c r="D15" s="18" t="inlineStr">
        <is>
          <t>فاز ۱</t>
        </is>
      </c>
      <c r="E15" s="18" t="inlineStr">
        <is>
          <t>سازمانی استاندارد</t>
        </is>
      </c>
      <c r="F15" s="20" t="n">
        <v>20</v>
      </c>
      <c r="G15" s="21">
        <f>MAX(H7)</f>
        <v/>
      </c>
      <c r="H15" s="21">
        <f>G15+F15</f>
        <v/>
      </c>
      <c r="I15" s="18" t="inlineStr">
        <is>
          <t>P1-02</t>
        </is>
      </c>
      <c r="J15" s="17" t="n"/>
      <c r="K15" s="17" t="n"/>
      <c r="L15" s="17" t="n"/>
      <c r="M15" s="17" t="n"/>
      <c r="N15" s="17" t="n"/>
      <c r="O15" s="17" t="n"/>
      <c r="P15" s="17" t="n"/>
      <c r="Q15" s="16" t="n"/>
      <c r="R15" s="16" t="n"/>
      <c r="S15" s="16" t="n"/>
      <c r="T15" s="16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17" t="n"/>
      <c r="AM15" s="17" t="n"/>
      <c r="AN15" s="17" t="n"/>
      <c r="AO15" s="17" t="n"/>
      <c r="AP15" s="17" t="n"/>
      <c r="AQ15" s="17" t="n"/>
      <c r="AR15" s="17" t="n"/>
      <c r="AS15" s="17" t="n"/>
      <c r="AT15" s="17" t="n"/>
      <c r="AU15" s="17" t="n"/>
      <c r="AV15" s="17" t="n"/>
      <c r="AW15" s="17" t="n"/>
    </row>
    <row r="16" ht="26" customHeight="1">
      <c r="B16" s="12" t="inlineStr">
        <is>
          <t>P1-11</t>
        </is>
      </c>
      <c r="C16" s="13" t="inlineStr">
        <is>
          <t>مسیر یادگیری و شایستگی</t>
        </is>
      </c>
      <c r="D16" s="12" t="inlineStr">
        <is>
          <t>فاز ۱</t>
        </is>
      </c>
      <c r="E16" s="12" t="inlineStr">
        <is>
          <t>سازمانی استاندارد</t>
        </is>
      </c>
      <c r="F16" s="14" t="n">
        <v>20</v>
      </c>
      <c r="G16" s="15">
        <f>MAX(H15)</f>
        <v/>
      </c>
      <c r="H16" s="15">
        <f>G16+F16</f>
        <v/>
      </c>
      <c r="I16" s="12" t="inlineStr">
        <is>
          <t>P1-10</t>
        </is>
      </c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6" t="n"/>
      <c r="V16" s="16" t="n"/>
      <c r="W16" s="16" t="n"/>
      <c r="X16" s="16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  <c r="AJ16" s="17" t="n"/>
      <c r="AK16" s="17" t="n"/>
      <c r="AL16" s="17" t="n"/>
      <c r="AM16" s="17" t="n"/>
      <c r="AN16" s="17" t="n"/>
      <c r="AO16" s="17" t="n"/>
      <c r="AP16" s="17" t="n"/>
      <c r="AQ16" s="17" t="n"/>
      <c r="AR16" s="17" t="n"/>
      <c r="AS16" s="17" t="n"/>
      <c r="AT16" s="17" t="n"/>
      <c r="AU16" s="17" t="n"/>
      <c r="AV16" s="17" t="n"/>
      <c r="AW16" s="17" t="n"/>
    </row>
    <row r="17" ht="26" customHeight="1">
      <c r="B17" s="18" t="inlineStr">
        <is>
          <t>P1-12</t>
        </is>
      </c>
      <c r="C17" s="19" t="inlineStr">
        <is>
          <t>گزارش‌دهی و هوش تجاری (BI)</t>
        </is>
      </c>
      <c r="D17" s="18" t="inlineStr">
        <is>
          <t>فاز ۱</t>
        </is>
      </c>
      <c r="E17" s="18" t="inlineStr">
        <is>
          <t>سازمانی استاندارد</t>
        </is>
      </c>
      <c r="F17" s="20" t="n">
        <v>20</v>
      </c>
      <c r="G17" s="21">
        <f>MAX(H15)</f>
        <v/>
      </c>
      <c r="H17" s="21">
        <f>G17+F17</f>
        <v/>
      </c>
      <c r="I17" s="18" t="inlineStr">
        <is>
          <t>P1-10</t>
        </is>
      </c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6" t="n"/>
      <c r="V17" s="16" t="n"/>
      <c r="W17" s="16" t="n"/>
      <c r="X17" s="16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17" t="n"/>
      <c r="AM17" s="17" t="n"/>
      <c r="AN17" s="17" t="n"/>
      <c r="AO17" s="17" t="n"/>
      <c r="AP17" s="17" t="n"/>
      <c r="AQ17" s="17" t="n"/>
      <c r="AR17" s="17" t="n"/>
      <c r="AS17" s="17" t="n"/>
      <c r="AT17" s="17" t="n"/>
      <c r="AU17" s="17" t="n"/>
      <c r="AV17" s="17" t="n"/>
      <c r="AW17" s="17" t="n"/>
    </row>
    <row r="18" ht="26" customHeight="1">
      <c r="B18" s="12" t="inlineStr">
        <is>
          <t>P1-13</t>
        </is>
      </c>
      <c r="C18" s="13" t="inlineStr">
        <is>
          <t>یکپارچگی HRIS</t>
        </is>
      </c>
      <c r="D18" s="12" t="inlineStr">
        <is>
          <t>فاز ۱</t>
        </is>
      </c>
      <c r="E18" s="12" t="inlineStr">
        <is>
          <t>سازمانی استاندارد</t>
        </is>
      </c>
      <c r="F18" s="14" t="n">
        <v>20</v>
      </c>
      <c r="G18" s="15">
        <f>MAX(H15)</f>
        <v/>
      </c>
      <c r="H18" s="15">
        <f>G18+F18</f>
        <v/>
      </c>
      <c r="I18" s="12" t="inlineStr">
        <is>
          <t>P1-10</t>
        </is>
      </c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6" t="n"/>
      <c r="V18" s="16" t="n"/>
      <c r="W18" s="16" t="n"/>
      <c r="X18" s="16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  <c r="AJ18" s="17" t="n"/>
      <c r="AK18" s="17" t="n"/>
      <c r="AL18" s="17" t="n"/>
      <c r="AM18" s="17" t="n"/>
      <c r="AN18" s="17" t="n"/>
      <c r="AO18" s="17" t="n"/>
      <c r="AP18" s="17" t="n"/>
      <c r="AQ18" s="17" t="n"/>
      <c r="AR18" s="17" t="n"/>
      <c r="AS18" s="17" t="n"/>
      <c r="AT18" s="17" t="n"/>
      <c r="AU18" s="17" t="n"/>
      <c r="AV18" s="17" t="n"/>
      <c r="AW18" s="17" t="n"/>
    </row>
    <row r="19" ht="26" customHeight="1">
      <c r="B19" s="18" t="inlineStr">
        <is>
          <t>P1-14</t>
        </is>
      </c>
      <c r="C19" s="19" t="inlineStr">
        <is>
          <t>ساختار ترمیک و تقویم آموزشی</t>
        </is>
      </c>
      <c r="D19" s="18" t="inlineStr">
        <is>
          <t>فاز ۱</t>
        </is>
      </c>
      <c r="E19" s="18" t="inlineStr">
        <is>
          <t>آکادمیک استاندارد</t>
        </is>
      </c>
      <c r="F19" s="20" t="n">
        <v>20</v>
      </c>
      <c r="G19" s="21">
        <f>MAX(H7)</f>
        <v/>
      </c>
      <c r="H19" s="21">
        <f>G19+F19</f>
        <v/>
      </c>
      <c r="I19" s="18" t="inlineStr">
        <is>
          <t>P1-02</t>
        </is>
      </c>
      <c r="J19" s="17" t="n"/>
      <c r="K19" s="17" t="n"/>
      <c r="L19" s="17" t="n"/>
      <c r="M19" s="17" t="n"/>
      <c r="N19" s="17" t="n"/>
      <c r="O19" s="17" t="n"/>
      <c r="P19" s="17" t="n"/>
      <c r="Q19" s="16" t="n"/>
      <c r="R19" s="16" t="n"/>
      <c r="S19" s="16" t="n"/>
      <c r="T19" s="16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  <c r="AJ19" s="17" t="n"/>
      <c r="AK19" s="17" t="n"/>
      <c r="AL19" s="17" t="n"/>
      <c r="AM19" s="17" t="n"/>
      <c r="AN19" s="17" t="n"/>
      <c r="AO19" s="17" t="n"/>
      <c r="AP19" s="17" t="n"/>
      <c r="AQ19" s="17" t="n"/>
      <c r="AR19" s="17" t="n"/>
      <c r="AS19" s="17" t="n"/>
      <c r="AT19" s="17" t="n"/>
      <c r="AU19" s="17" t="n"/>
      <c r="AV19" s="17" t="n"/>
      <c r="AW19" s="17" t="n"/>
    </row>
    <row r="20" ht="26" customHeight="1">
      <c r="B20" s="12" t="inlineStr">
        <is>
          <t>P1-15</t>
        </is>
      </c>
      <c r="C20" s="13" t="inlineStr">
        <is>
          <t>مدیریت فرایندهای درسی (Rules Engine)</t>
        </is>
      </c>
      <c r="D20" s="12" t="inlineStr">
        <is>
          <t>فاز ۱</t>
        </is>
      </c>
      <c r="E20" s="12" t="inlineStr">
        <is>
          <t>آکادمیک استاندارد</t>
        </is>
      </c>
      <c r="F20" s="14" t="n">
        <v>20</v>
      </c>
      <c r="G20" s="15">
        <f>MAX(H19)</f>
        <v/>
      </c>
      <c r="H20" s="15">
        <f>G20+F20</f>
        <v/>
      </c>
      <c r="I20" s="12" t="inlineStr">
        <is>
          <t>P1-14</t>
        </is>
      </c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6" t="n"/>
      <c r="V20" s="16" t="n"/>
      <c r="W20" s="16" t="n"/>
      <c r="X20" s="16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</row>
    <row r="21" ht="26" customHeight="1">
      <c r="B21" s="18" t="inlineStr">
        <is>
          <t>P1-16</t>
        </is>
      </c>
      <c r="C21" s="19" t="inlineStr">
        <is>
          <t>ارزیابی و کارنامه</t>
        </is>
      </c>
      <c r="D21" s="18" t="inlineStr">
        <is>
          <t>فاز ۱</t>
        </is>
      </c>
      <c r="E21" s="18" t="inlineStr">
        <is>
          <t>آکادمیک استاندارد</t>
        </is>
      </c>
      <c r="F21" s="20" t="n">
        <v>15</v>
      </c>
      <c r="G21" s="21">
        <f>MAX(H19)</f>
        <v/>
      </c>
      <c r="H21" s="21">
        <f>G21+F21</f>
        <v/>
      </c>
      <c r="I21" s="18" t="inlineStr">
        <is>
          <t>P1-14</t>
        </is>
      </c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6" t="n"/>
      <c r="V21" s="16" t="n"/>
      <c r="W21" s="16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</row>
    <row r="22" ht="26" customHeight="1">
      <c r="B22" s="12" t="inlineStr">
        <is>
          <t>P1-17</t>
        </is>
      </c>
      <c r="C22" s="13" t="inlineStr">
        <is>
          <t>یکپارچگی SIS (گلستان/سجاد)</t>
        </is>
      </c>
      <c r="D22" s="12" t="inlineStr">
        <is>
          <t>فاز ۱</t>
        </is>
      </c>
      <c r="E22" s="12" t="inlineStr">
        <is>
          <t>آکادمیک استاندارد</t>
        </is>
      </c>
      <c r="F22" s="14" t="n">
        <v>25</v>
      </c>
      <c r="G22" s="15">
        <f>MAX(H19)</f>
        <v/>
      </c>
      <c r="H22" s="15">
        <f>G22+F22</f>
        <v/>
      </c>
      <c r="I22" s="12" t="inlineStr">
        <is>
          <t>P1-14</t>
        </is>
      </c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6" t="n"/>
      <c r="V22" s="16" t="n"/>
      <c r="W22" s="16" t="n"/>
      <c r="X22" s="16" t="n"/>
      <c r="Y22" s="16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17" t="n"/>
      <c r="AT22" s="17" t="n"/>
      <c r="AU22" s="17" t="n"/>
      <c r="AV22" s="17" t="n"/>
      <c r="AW22" s="17" t="n"/>
    </row>
    <row r="23" ht="26" customHeight="1">
      <c r="B23" s="22" t="inlineStr">
        <is>
          <t>M1</t>
        </is>
      </c>
      <c r="C23" s="23" t="inlineStr">
        <is>
          <t>تحویل فاز ۱ — MVP</t>
        </is>
      </c>
      <c r="D23" s="22" t="inlineStr">
        <is>
          <t>فاز ۱</t>
        </is>
      </c>
      <c r="E23" s="22" t="inlineStr">
        <is>
          <t>مایل‌ستون</t>
        </is>
      </c>
      <c r="F23" s="22" t="n">
        <v>0</v>
      </c>
      <c r="G23" s="24">
        <f>MAX(H22)</f>
        <v/>
      </c>
      <c r="H23" s="24">
        <f>G23</f>
        <v/>
      </c>
      <c r="I23" s="22" t="inlineStr">
        <is>
          <t>P1-17</t>
        </is>
      </c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25" t="inlineStr">
        <is>
          <t>◆</t>
        </is>
      </c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17" t="n"/>
      <c r="AT23" s="17" t="n"/>
      <c r="AU23" s="17" t="n"/>
      <c r="AV23" s="17" t="n"/>
      <c r="AW23" s="17" t="n"/>
    </row>
    <row r="24" ht="26" customHeight="1">
      <c r="B24" s="12" t="inlineStr">
        <is>
          <t>P2-01</t>
        </is>
      </c>
      <c r="C24" s="13" t="inlineStr">
        <is>
          <t>موتور امتیازدهی (Point Engine)</t>
        </is>
      </c>
      <c r="D24" s="12" t="inlineStr">
        <is>
          <t>فاز ۲</t>
        </is>
      </c>
      <c r="E24" s="12" t="inlineStr">
        <is>
          <t>گیمیفیکیشن</t>
        </is>
      </c>
      <c r="F24" s="14" t="n">
        <v>15</v>
      </c>
      <c r="G24" s="15">
        <f>MAX(H23)</f>
        <v/>
      </c>
      <c r="H24" s="15">
        <f>G24+F24</f>
        <v/>
      </c>
      <c r="I24" s="12" t="inlineStr">
        <is>
          <t>M1</t>
        </is>
      </c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26" t="n"/>
      <c r="AA24" s="26" t="n"/>
      <c r="AB24" s="26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</row>
    <row r="25" ht="26" customHeight="1">
      <c r="B25" s="18" t="inlineStr">
        <is>
          <t>P2-02</t>
        </is>
      </c>
      <c r="C25" s="19" t="inlineStr">
        <is>
          <t>سیستم نشان و دستاورد (Badge)</t>
        </is>
      </c>
      <c r="D25" s="18" t="inlineStr">
        <is>
          <t>فاز ۲</t>
        </is>
      </c>
      <c r="E25" s="18" t="inlineStr">
        <is>
          <t>گیمیفیکیشن</t>
        </is>
      </c>
      <c r="F25" s="20" t="n">
        <v>15</v>
      </c>
      <c r="G25" s="21">
        <f>MAX(H24)</f>
        <v/>
      </c>
      <c r="H25" s="21">
        <f>G25+F25</f>
        <v/>
      </c>
      <c r="I25" s="18" t="inlineStr">
        <is>
          <t>P2-01</t>
        </is>
      </c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26" t="n"/>
      <c r="AD25" s="26" t="n"/>
      <c r="AE25" s="26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</row>
    <row r="26" ht="26" customHeight="1">
      <c r="B26" s="12" t="inlineStr">
        <is>
          <t>P2-03</t>
        </is>
      </c>
      <c r="C26" s="13" t="inlineStr">
        <is>
          <t>سطح‌بندی و لیدربورد</t>
        </is>
      </c>
      <c r="D26" s="12" t="inlineStr">
        <is>
          <t>فاز ۲</t>
        </is>
      </c>
      <c r="E26" s="12" t="inlineStr">
        <is>
          <t>گیمیفیکیشن</t>
        </is>
      </c>
      <c r="F26" s="14" t="n">
        <v>15</v>
      </c>
      <c r="G26" s="15">
        <f>MAX(H24)</f>
        <v/>
      </c>
      <c r="H26" s="15">
        <f>G26+F26</f>
        <v/>
      </c>
      <c r="I26" s="12" t="inlineStr">
        <is>
          <t>P2-01</t>
        </is>
      </c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26" t="n"/>
      <c r="AD26" s="26" t="n"/>
      <c r="AE26" s="26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17" t="n"/>
      <c r="AT26" s="17" t="n"/>
      <c r="AU26" s="17" t="n"/>
      <c r="AV26" s="17" t="n"/>
      <c r="AW26" s="17" t="n"/>
    </row>
    <row r="27" ht="26" customHeight="1">
      <c r="B27" s="18" t="inlineStr">
        <is>
          <t>P2-04</t>
        </is>
      </c>
      <c r="C27" s="19" t="inlineStr">
        <is>
          <t>قوانین پاداش و شخصی‌سازی</t>
        </is>
      </c>
      <c r="D27" s="18" t="inlineStr">
        <is>
          <t>فاز ۲</t>
        </is>
      </c>
      <c r="E27" s="18" t="inlineStr">
        <is>
          <t>گیمیفیکیشن</t>
        </is>
      </c>
      <c r="F27" s="20" t="n">
        <v>15</v>
      </c>
      <c r="G27" s="21">
        <f>MAX(H24)</f>
        <v/>
      </c>
      <c r="H27" s="21">
        <f>G27+F27</f>
        <v/>
      </c>
      <c r="I27" s="18" t="inlineStr">
        <is>
          <t>P2-01</t>
        </is>
      </c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26" t="n"/>
      <c r="AD27" s="26" t="n"/>
      <c r="AE27" s="26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17" t="n"/>
      <c r="AT27" s="17" t="n"/>
      <c r="AU27" s="17" t="n"/>
      <c r="AV27" s="17" t="n"/>
      <c r="AW27" s="17" t="n"/>
    </row>
    <row r="28" ht="26" customHeight="1">
      <c r="B28" s="12" t="inlineStr">
        <is>
          <t>P2-05</t>
        </is>
      </c>
      <c r="C28" s="13" t="inlineStr">
        <is>
          <t>داشبورد و اعلان‌های هوشمند</t>
        </is>
      </c>
      <c r="D28" s="12" t="inlineStr">
        <is>
          <t>فاز ۲</t>
        </is>
      </c>
      <c r="E28" s="12" t="inlineStr">
        <is>
          <t>گیمیفیکیشن</t>
        </is>
      </c>
      <c r="F28" s="14" t="n">
        <v>15</v>
      </c>
      <c r="G28" s="15">
        <f>MAX(H26)</f>
        <v/>
      </c>
      <c r="H28" s="15">
        <f>G28+F28</f>
        <v/>
      </c>
      <c r="I28" s="12" t="inlineStr">
        <is>
          <t>P2-03</t>
        </is>
      </c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26" t="n"/>
      <c r="AG28" s="26" t="n"/>
      <c r="AH28" s="26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17" t="n"/>
      <c r="AT28" s="17" t="n"/>
      <c r="AU28" s="17" t="n"/>
      <c r="AV28" s="17" t="n"/>
      <c r="AW28" s="17" t="n"/>
    </row>
    <row r="29" ht="26" customHeight="1">
      <c r="B29" s="18" t="inlineStr">
        <is>
          <t>P2-06</t>
        </is>
      </c>
      <c r="C29" s="19" t="inlineStr">
        <is>
          <t>ضدتقلب و کنترل سوءاستفاده</t>
        </is>
      </c>
      <c r="D29" s="18" t="inlineStr">
        <is>
          <t>فاز ۲</t>
        </is>
      </c>
      <c r="E29" s="18" t="inlineStr">
        <is>
          <t>گیمیفیکیشن</t>
        </is>
      </c>
      <c r="F29" s="20" t="n">
        <v>10</v>
      </c>
      <c r="G29" s="21">
        <f>MAX(H24)</f>
        <v/>
      </c>
      <c r="H29" s="21">
        <f>G29+F29</f>
        <v/>
      </c>
      <c r="I29" s="18" t="inlineStr">
        <is>
          <t>P2-01</t>
        </is>
      </c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26" t="n"/>
      <c r="AD29" s="26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17" t="n"/>
      <c r="AT29" s="17" t="n"/>
      <c r="AU29" s="17" t="n"/>
      <c r="AV29" s="17" t="n"/>
      <c r="AW29" s="17" t="n"/>
    </row>
    <row r="30" ht="26" customHeight="1">
      <c r="B30" s="12" t="inlineStr">
        <is>
          <t>P2-07</t>
        </is>
      </c>
      <c r="C30" s="13" t="inlineStr">
        <is>
          <t>موتور پیشنهاددهی (Recommender)</t>
        </is>
      </c>
      <c r="D30" s="12" t="inlineStr">
        <is>
          <t>فاز ۲</t>
        </is>
      </c>
      <c r="E30" s="12" t="inlineStr">
        <is>
          <t>هوش مصنوعی</t>
        </is>
      </c>
      <c r="F30" s="14" t="n">
        <v>20</v>
      </c>
      <c r="G30" s="15">
        <f>MAX(H23)</f>
        <v/>
      </c>
      <c r="H30" s="15">
        <f>G30+F30</f>
        <v/>
      </c>
      <c r="I30" s="12" t="inlineStr">
        <is>
          <t>M1</t>
        </is>
      </c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26" t="n"/>
      <c r="AA30" s="26" t="n"/>
      <c r="AB30" s="26" t="n"/>
      <c r="AC30" s="26" t="n"/>
      <c r="AD30" s="17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17" t="n"/>
      <c r="AT30" s="17" t="n"/>
      <c r="AU30" s="17" t="n"/>
      <c r="AV30" s="17" t="n"/>
      <c r="AW30" s="17" t="n"/>
    </row>
    <row r="31" ht="26" customHeight="1">
      <c r="B31" s="18" t="inlineStr">
        <is>
          <t>P2-08</t>
        </is>
      </c>
      <c r="C31" s="19" t="inlineStr">
        <is>
          <t>تحلیل شکاف مهارتی (Skill-Gap)</t>
        </is>
      </c>
      <c r="D31" s="18" t="inlineStr">
        <is>
          <t>فاز ۲</t>
        </is>
      </c>
      <c r="E31" s="18" t="inlineStr">
        <is>
          <t>هوش مصنوعی</t>
        </is>
      </c>
      <c r="F31" s="20" t="n">
        <v>15</v>
      </c>
      <c r="G31" s="21">
        <f>MAX(H30)</f>
        <v/>
      </c>
      <c r="H31" s="21">
        <f>G31+F31</f>
        <v/>
      </c>
      <c r="I31" s="18" t="inlineStr">
        <is>
          <t>P2-07</t>
        </is>
      </c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26" t="n"/>
      <c r="AE31" s="26" t="n"/>
      <c r="AF31" s="26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17" t="n"/>
      <c r="AT31" s="17" t="n"/>
      <c r="AU31" s="17" t="n"/>
      <c r="AV31" s="17" t="n"/>
      <c r="AW31" s="17" t="n"/>
    </row>
    <row r="32" ht="26" customHeight="1">
      <c r="B32" s="12" t="inlineStr">
        <is>
          <t>P2-09</t>
        </is>
      </c>
      <c r="C32" s="13" t="inlineStr">
        <is>
          <t>پشتیبانی هوشمند (AI Tutor/Chatbot)</t>
        </is>
      </c>
      <c r="D32" s="12" t="inlineStr">
        <is>
          <t>فاز ۲</t>
        </is>
      </c>
      <c r="E32" s="12" t="inlineStr">
        <is>
          <t>هوش مصنوعی</t>
        </is>
      </c>
      <c r="F32" s="14" t="n">
        <v>25</v>
      </c>
      <c r="G32" s="15">
        <f>MAX(H23)</f>
        <v/>
      </c>
      <c r="H32" s="15">
        <f>G32+F32</f>
        <v/>
      </c>
      <c r="I32" s="12" t="inlineStr">
        <is>
          <t>M1</t>
        </is>
      </c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26" t="n"/>
      <c r="AA32" s="26" t="n"/>
      <c r="AB32" s="26" t="n"/>
      <c r="AC32" s="26" t="n"/>
      <c r="AD32" s="26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</row>
    <row r="33" ht="26" customHeight="1">
      <c r="B33" s="18" t="inlineStr">
        <is>
          <t>P2-10</t>
        </is>
      </c>
      <c r="C33" s="19" t="inlineStr">
        <is>
          <t>تشخیص تقلب (Proctoring)</t>
        </is>
      </c>
      <c r="D33" s="18" t="inlineStr">
        <is>
          <t>فاز ۲</t>
        </is>
      </c>
      <c r="E33" s="18" t="inlineStr">
        <is>
          <t>هوش مصنوعی</t>
        </is>
      </c>
      <c r="F33" s="20" t="n">
        <v>20</v>
      </c>
      <c r="G33" s="21">
        <f>MAX(H23)</f>
        <v/>
      </c>
      <c r="H33" s="21">
        <f>G33+F33</f>
        <v/>
      </c>
      <c r="I33" s="18" t="inlineStr">
        <is>
          <t>M1</t>
        </is>
      </c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26" t="n"/>
      <c r="AA33" s="26" t="n"/>
      <c r="AB33" s="26" t="n"/>
      <c r="AC33" s="26" t="n"/>
      <c r="AD33" s="17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17" t="n"/>
      <c r="AT33" s="17" t="n"/>
      <c r="AU33" s="17" t="n"/>
      <c r="AV33" s="17" t="n"/>
      <c r="AW33" s="17" t="n"/>
    </row>
    <row r="34" ht="26" customHeight="1">
      <c r="B34" s="12" t="inlineStr">
        <is>
          <t>P2-11</t>
        </is>
      </c>
      <c r="C34" s="13" t="inlineStr">
        <is>
          <t>داشبورد پیش‌بینی (Predictive)</t>
        </is>
      </c>
      <c r="D34" s="12" t="inlineStr">
        <is>
          <t>فاز ۲</t>
        </is>
      </c>
      <c r="E34" s="12" t="inlineStr">
        <is>
          <t>هوش مصنوعی</t>
        </is>
      </c>
      <c r="F34" s="14" t="n">
        <v>15</v>
      </c>
      <c r="G34" s="15">
        <f>MAX(H30)</f>
        <v/>
      </c>
      <c r="H34" s="15">
        <f>G34+F34</f>
        <v/>
      </c>
      <c r="I34" s="12" t="inlineStr">
        <is>
          <t>P2-07</t>
        </is>
      </c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26" t="n"/>
      <c r="AE34" s="26" t="n"/>
      <c r="AF34" s="26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17" t="n"/>
      <c r="AT34" s="17" t="n"/>
      <c r="AU34" s="17" t="n"/>
      <c r="AV34" s="17" t="n"/>
      <c r="AW34" s="17" t="n"/>
    </row>
    <row r="35" ht="26" customHeight="1">
      <c r="B35" s="18" t="inlineStr">
        <is>
          <t>P2-12</t>
        </is>
      </c>
      <c r="C35" s="19" t="inlineStr">
        <is>
          <t>مدیریت کمیسیون و تسویه حساب</t>
        </is>
      </c>
      <c r="D35" s="18" t="inlineStr">
        <is>
          <t>فاز ۲</t>
        </is>
      </c>
      <c r="E35" s="18" t="inlineStr">
        <is>
          <t>بازار فروش</t>
        </is>
      </c>
      <c r="F35" s="20" t="n">
        <v>15</v>
      </c>
      <c r="G35" s="21">
        <f>MAX(H23)</f>
        <v/>
      </c>
      <c r="H35" s="21">
        <f>G35+F35</f>
        <v/>
      </c>
      <c r="I35" s="18" t="inlineStr">
        <is>
          <t>M1</t>
        </is>
      </c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26" t="n"/>
      <c r="AA35" s="26" t="n"/>
      <c r="AB35" s="26" t="n"/>
      <c r="AC35" s="17" t="n"/>
      <c r="AD35" s="17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17" t="n"/>
      <c r="AT35" s="17" t="n"/>
      <c r="AU35" s="17" t="n"/>
      <c r="AV35" s="17" t="n"/>
      <c r="AW35" s="17" t="n"/>
    </row>
    <row r="36" ht="26" customHeight="1">
      <c r="B36" s="12" t="inlineStr">
        <is>
          <t>P2-13</t>
        </is>
      </c>
      <c r="C36" s="13" t="inlineStr">
        <is>
          <t>گزارشات فروش و کوپن تخفیف</t>
        </is>
      </c>
      <c r="D36" s="12" t="inlineStr">
        <is>
          <t>فاز ۲</t>
        </is>
      </c>
      <c r="E36" s="12" t="inlineStr">
        <is>
          <t>بازار فروش</t>
        </is>
      </c>
      <c r="F36" s="14" t="n">
        <v>15</v>
      </c>
      <c r="G36" s="15">
        <f>MAX(H35)</f>
        <v/>
      </c>
      <c r="H36" s="15">
        <f>G36+F36</f>
        <v/>
      </c>
      <c r="I36" s="12" t="inlineStr">
        <is>
          <t>P2-12</t>
        </is>
      </c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26" t="n"/>
      <c r="AD36" s="26" t="n"/>
      <c r="AE36" s="26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</row>
    <row r="37" ht="26" customHeight="1">
      <c r="B37" s="18" t="inlineStr">
        <is>
          <t>P2-14</t>
        </is>
      </c>
      <c r="C37" s="19" t="inlineStr">
        <is>
          <t>امتیازدهی، سبد خرید و پرداخت</t>
        </is>
      </c>
      <c r="D37" s="18" t="inlineStr">
        <is>
          <t>فاز ۲</t>
        </is>
      </c>
      <c r="E37" s="18" t="inlineStr">
        <is>
          <t>بازار فروش</t>
        </is>
      </c>
      <c r="F37" s="20" t="n">
        <v>20</v>
      </c>
      <c r="G37" s="21">
        <f>MAX(H35)</f>
        <v/>
      </c>
      <c r="H37" s="21">
        <f>G37+F37</f>
        <v/>
      </c>
      <c r="I37" s="18" t="inlineStr">
        <is>
          <t>P2-12</t>
        </is>
      </c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26" t="n"/>
      <c r="AD37" s="26" t="n"/>
      <c r="AE37" s="26" t="n"/>
      <c r="AF37" s="26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17" t="n"/>
      <c r="AT37" s="17" t="n"/>
      <c r="AU37" s="17" t="n"/>
      <c r="AV37" s="17" t="n"/>
      <c r="AW37" s="17" t="n"/>
    </row>
    <row r="38" ht="26" customHeight="1">
      <c r="B38" s="12" t="inlineStr">
        <is>
          <t>P2-15</t>
        </is>
      </c>
      <c r="C38" s="13" t="inlineStr">
        <is>
          <t>جلسات Live و ابزارهای پشتیبانی</t>
        </is>
      </c>
      <c r="D38" s="12" t="inlineStr">
        <is>
          <t>فاز ۲</t>
        </is>
      </c>
      <c r="E38" s="12" t="inlineStr">
        <is>
          <t>بازار فروش</t>
        </is>
      </c>
      <c r="F38" s="14" t="n">
        <v>15</v>
      </c>
      <c r="G38" s="15">
        <f>MAX(H35)</f>
        <v/>
      </c>
      <c r="H38" s="15">
        <f>G38+F38</f>
        <v/>
      </c>
      <c r="I38" s="12" t="inlineStr">
        <is>
          <t>P2-12</t>
        </is>
      </c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26" t="n"/>
      <c r="AD38" s="26" t="n"/>
      <c r="AE38" s="26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17" t="n"/>
      <c r="AT38" s="17" t="n"/>
      <c r="AU38" s="17" t="n"/>
      <c r="AV38" s="17" t="n"/>
      <c r="AW38" s="17" t="n"/>
    </row>
    <row r="39" ht="26" customHeight="1">
      <c r="B39" s="18" t="inlineStr">
        <is>
          <t>P2-16</t>
        </is>
      </c>
      <c r="C39" s="19" t="inlineStr">
        <is>
          <t>تست یکپارچگی (Integration Testing)</t>
        </is>
      </c>
      <c r="D39" s="18" t="inlineStr">
        <is>
          <t>فاز ۲</t>
        </is>
      </c>
      <c r="E39" s="18" t="inlineStr">
        <is>
          <t>تست و استقرار</t>
        </is>
      </c>
      <c r="F39" s="20" t="n">
        <v>20</v>
      </c>
      <c r="G39" s="21">
        <f>MAX(H38,H34,H29)</f>
        <v/>
      </c>
      <c r="H39" s="21">
        <f>G39+F39</f>
        <v/>
      </c>
      <c r="I39" s="18" t="inlineStr">
        <is>
          <t>P2-15,P2-11,P2-06</t>
        </is>
      </c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27" t="n"/>
      <c r="AH39" s="27" t="n"/>
      <c r="AI39" s="27" t="n"/>
      <c r="AJ39" s="2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17" t="n"/>
      <c r="AT39" s="17" t="n"/>
      <c r="AU39" s="17" t="n"/>
      <c r="AV39" s="17" t="n"/>
      <c r="AW39" s="17" t="n"/>
    </row>
    <row r="40" ht="26" customHeight="1">
      <c r="B40" s="12" t="inlineStr">
        <is>
          <t>P2-17</t>
        </is>
      </c>
      <c r="C40" s="13" t="inlineStr">
        <is>
          <t>تست کاربر (UAT) و رفع اشکال</t>
        </is>
      </c>
      <c r="D40" s="12" t="inlineStr">
        <is>
          <t>فاز ۲</t>
        </is>
      </c>
      <c r="E40" s="12" t="inlineStr">
        <is>
          <t>تست و استقرار</t>
        </is>
      </c>
      <c r="F40" s="14" t="n">
        <v>20</v>
      </c>
      <c r="G40" s="15">
        <f>MAX(H39)</f>
        <v/>
      </c>
      <c r="H40" s="15">
        <f>G40+F40</f>
        <v/>
      </c>
      <c r="I40" s="12" t="inlineStr">
        <is>
          <t>P2-16</t>
        </is>
      </c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  <c r="AJ40" s="17" t="n"/>
      <c r="AK40" s="27" t="n"/>
      <c r="AL40" s="27" t="n"/>
      <c r="AM40" s="27" t="n"/>
      <c r="AN40" s="27" t="n"/>
      <c r="AO40" s="17" t="n"/>
      <c r="AP40" s="17" t="n"/>
      <c r="AQ40" s="17" t="n"/>
      <c r="AR40" s="17" t="n"/>
      <c r="AS40" s="17" t="n"/>
      <c r="AT40" s="17" t="n"/>
      <c r="AU40" s="17" t="n"/>
      <c r="AV40" s="17" t="n"/>
      <c r="AW40" s="17" t="n"/>
    </row>
    <row r="41" ht="26" customHeight="1">
      <c r="B41" s="18" t="inlineStr">
        <is>
          <t>P2-18</t>
        </is>
      </c>
      <c r="C41" s="19" t="inlineStr">
        <is>
          <t>استقرار و راه‌اندازی نهایی</t>
        </is>
      </c>
      <c r="D41" s="18" t="inlineStr">
        <is>
          <t>فاز ۲</t>
        </is>
      </c>
      <c r="E41" s="18" t="inlineStr">
        <is>
          <t>تست و استقرار</t>
        </is>
      </c>
      <c r="F41" s="20" t="n">
        <v>10</v>
      </c>
      <c r="G41" s="21">
        <f>MAX(H40)</f>
        <v/>
      </c>
      <c r="H41" s="21">
        <f>G41+F41</f>
        <v/>
      </c>
      <c r="I41" s="18" t="inlineStr">
        <is>
          <t>P2-17</t>
        </is>
      </c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27" t="n"/>
      <c r="AP41" s="27" t="n"/>
      <c r="AQ41" s="17" t="n"/>
      <c r="AR41" s="17" t="n"/>
      <c r="AS41" s="17" t="n"/>
      <c r="AT41" s="17" t="n"/>
      <c r="AU41" s="17" t="n"/>
      <c r="AV41" s="17" t="n"/>
      <c r="AW41" s="17" t="n"/>
    </row>
    <row r="42" ht="26" customHeight="1">
      <c r="B42" s="22" t="inlineStr">
        <is>
          <t>M2</t>
        </is>
      </c>
      <c r="C42" s="23" t="inlineStr">
        <is>
          <t>تحویل نهایی پروژه</t>
        </is>
      </c>
      <c r="D42" s="22" t="inlineStr">
        <is>
          <t>فاز ۲</t>
        </is>
      </c>
      <c r="E42" s="22" t="inlineStr">
        <is>
          <t>مایل‌ستون</t>
        </is>
      </c>
      <c r="F42" s="22" t="n">
        <v>0</v>
      </c>
      <c r="G42" s="24">
        <f>MAX(H41)</f>
        <v/>
      </c>
      <c r="H42" s="24">
        <f>G42</f>
        <v/>
      </c>
      <c r="I42" s="22" t="inlineStr">
        <is>
          <t>P2-18</t>
        </is>
      </c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  <c r="AJ42" s="17" t="n"/>
      <c r="AK42" s="17" t="n"/>
      <c r="AL42" s="17" t="n"/>
      <c r="AM42" s="17" t="n"/>
      <c r="AN42" s="17" t="n"/>
      <c r="AO42" s="17" t="n"/>
      <c r="AP42" s="17" t="n"/>
      <c r="AQ42" s="25" t="inlineStr">
        <is>
          <t>◆</t>
        </is>
      </c>
      <c r="AR42" s="17" t="n"/>
      <c r="AS42" s="17" t="n"/>
      <c r="AT42" s="17" t="n"/>
      <c r="AU42" s="17" t="n"/>
      <c r="AV42" s="17" t="n"/>
      <c r="AW42" s="17" t="n"/>
    </row>
    <row r="45">
      <c r="B45" s="28" t="inlineStr">
        <is>
          <t>راهنمای رنگ‌ها:</t>
        </is>
      </c>
    </row>
    <row r="46">
      <c r="B46" s="16" t="n"/>
      <c r="C46" s="29" t="inlineStr">
        <is>
          <t>فاز ۱: هسته + استاندارد</t>
        </is>
      </c>
      <c r="E46" s="26" t="n"/>
      <c r="F46" s="29" t="inlineStr">
        <is>
          <t>فاز ۲: هوشمند</t>
        </is>
      </c>
      <c r="H46" s="27" t="n"/>
      <c r="I46" s="29" t="inlineStr">
        <is>
          <t>تست و استقرار</t>
        </is>
      </c>
      <c r="K46" s="30" t="n"/>
      <c r="L46" s="29" t="inlineStr">
        <is>
          <t>مایل‌ستون</t>
        </is>
      </c>
    </row>
  </sheetData>
  <mergeCells count="10">
    <mergeCell ref="AB4:AG4"/>
    <mergeCell ref="AH4:AM4"/>
    <mergeCell ref="AT4:AW4"/>
    <mergeCell ref="J3:Z3"/>
    <mergeCell ref="AA3:AW3"/>
    <mergeCell ref="V4:AA4"/>
    <mergeCell ref="J4:O4"/>
    <mergeCell ref="AN4:AS4"/>
    <mergeCell ref="B2:AW2"/>
    <mergeCell ref="P4:U4"/>
  </mergeCells>
  <conditionalFormatting sqref="J6">
    <cfRule type="expression" priority="1" dxfId="0">
      <formula>=AND(G6&lt;('تنظیمات'!$C$5+5),H6&gt;('تنظیمات'!$C$5+0),F6&gt;0)</formula>
    </cfRule>
  </conditionalFormatting>
  <conditionalFormatting sqref="K6">
    <cfRule type="expression" priority="2" dxfId="0">
      <formula>=AND(G6&lt;('تنظیمات'!$C$5+10),H6&gt;('تنظیمات'!$C$5+5),F6&gt;0)</formula>
    </cfRule>
  </conditionalFormatting>
  <conditionalFormatting sqref="L6">
    <cfRule type="expression" priority="3" dxfId="0">
      <formula>=AND(G6&lt;('تنظیمات'!$C$5+15),H6&gt;('تنظیمات'!$C$5+10),F6&gt;0)</formula>
    </cfRule>
  </conditionalFormatting>
  <conditionalFormatting sqref="M6">
    <cfRule type="expression" priority="4" dxfId="0">
      <formula>=AND(G6&lt;('تنظیمات'!$C$5+20),H6&gt;('تنظیمات'!$C$5+15),F6&gt;0)</formula>
    </cfRule>
  </conditionalFormatting>
  <conditionalFormatting sqref="N6">
    <cfRule type="expression" priority="5" dxfId="0">
      <formula>=AND(G6&lt;('تنظیمات'!$C$5+25),H6&gt;('تنظیمات'!$C$5+20),F6&gt;0)</formula>
    </cfRule>
  </conditionalFormatting>
  <conditionalFormatting sqref="O6">
    <cfRule type="expression" priority="6" dxfId="0">
      <formula>=AND(G6&lt;('تنظیمات'!$C$5+30),H6&gt;('تنظیمات'!$C$5+25),F6&gt;0)</formula>
    </cfRule>
  </conditionalFormatting>
  <conditionalFormatting sqref="P6">
    <cfRule type="expression" priority="7" dxfId="0">
      <formula>=AND(G6&lt;('تنظیمات'!$C$5+35),H6&gt;('تنظیمات'!$C$5+30),F6&gt;0)</formula>
    </cfRule>
  </conditionalFormatting>
  <conditionalFormatting sqref="Q6">
    <cfRule type="expression" priority="8" dxfId="0">
      <formula>=AND(G6&lt;('تنظیمات'!$C$5+40),H6&gt;('تنظیمات'!$C$5+35),F6&gt;0)</formula>
    </cfRule>
  </conditionalFormatting>
  <conditionalFormatting sqref="R6">
    <cfRule type="expression" priority="9" dxfId="0">
      <formula>=AND(G6&lt;('تنظیمات'!$C$5+45),H6&gt;('تنظیمات'!$C$5+40),F6&gt;0)</formula>
    </cfRule>
  </conditionalFormatting>
  <conditionalFormatting sqref="S6">
    <cfRule type="expression" priority="10" dxfId="0">
      <formula>=AND(G6&lt;('تنظیمات'!$C$5+50),H6&gt;('تنظیمات'!$C$5+45),F6&gt;0)</formula>
    </cfRule>
  </conditionalFormatting>
  <conditionalFormatting sqref="T6">
    <cfRule type="expression" priority="11" dxfId="0">
      <formula>=AND(G6&lt;('تنظیمات'!$C$5+55),H6&gt;('تنظیمات'!$C$5+50),F6&gt;0)</formula>
    </cfRule>
  </conditionalFormatting>
  <conditionalFormatting sqref="U6">
    <cfRule type="expression" priority="12" dxfId="0">
      <formula>=AND(G6&lt;('تنظیمات'!$C$5+60),H6&gt;('تنظیمات'!$C$5+55),F6&gt;0)</formula>
    </cfRule>
  </conditionalFormatting>
  <conditionalFormatting sqref="V6">
    <cfRule type="expression" priority="13" dxfId="0">
      <formula>=AND(G6&lt;('تنظیمات'!$C$5+65),H6&gt;('تنظیمات'!$C$5+60),F6&gt;0)</formula>
    </cfRule>
  </conditionalFormatting>
  <conditionalFormatting sqref="W6">
    <cfRule type="expression" priority="14" dxfId="0">
      <formula>=AND(G6&lt;('تنظیمات'!$C$5+70),H6&gt;('تنظیمات'!$C$5+65),F6&gt;0)</formula>
    </cfRule>
  </conditionalFormatting>
  <conditionalFormatting sqref="X6">
    <cfRule type="expression" priority="15" dxfId="0">
      <formula>=AND(G6&lt;('تنظیمات'!$C$5+75),H6&gt;('تنظیمات'!$C$5+70),F6&gt;0)</formula>
    </cfRule>
  </conditionalFormatting>
  <conditionalFormatting sqref="Y6">
    <cfRule type="expression" priority="16" dxfId="0">
      <formula>=AND(G6&lt;('تنظیمات'!$C$5+80),H6&gt;('تنظیمات'!$C$5+75),F6&gt;0)</formula>
    </cfRule>
  </conditionalFormatting>
  <conditionalFormatting sqref="Z6">
    <cfRule type="expression" priority="17" dxfId="0">
      <formula>=AND(G6&lt;('تنظیمات'!$C$5+85),H6&gt;('تنظیمات'!$C$5+80),F6&gt;0)</formula>
    </cfRule>
  </conditionalFormatting>
  <conditionalFormatting sqref="AA6">
    <cfRule type="expression" priority="18" dxfId="0">
      <formula>=AND(G6&lt;('تنظیمات'!$C$5+90),H6&gt;('تنظیمات'!$C$5+85),F6&gt;0)</formula>
    </cfRule>
  </conditionalFormatting>
  <conditionalFormatting sqref="AB6">
    <cfRule type="expression" priority="19" dxfId="0">
      <formula>=AND(G6&lt;('تنظیمات'!$C$5+95),H6&gt;('تنظیمات'!$C$5+90),F6&gt;0)</formula>
    </cfRule>
  </conditionalFormatting>
  <conditionalFormatting sqref="AC6">
    <cfRule type="expression" priority="20" dxfId="0">
      <formula>=AND(G6&lt;('تنظیمات'!$C$5+100),H6&gt;('تنظیمات'!$C$5+95),F6&gt;0)</formula>
    </cfRule>
  </conditionalFormatting>
  <conditionalFormatting sqref="AD6">
    <cfRule type="expression" priority="21" dxfId="0">
      <formula>=AND(G6&lt;('تنظیمات'!$C$5+105),H6&gt;('تنظیمات'!$C$5+100),F6&gt;0)</formula>
    </cfRule>
  </conditionalFormatting>
  <conditionalFormatting sqref="AE6">
    <cfRule type="expression" priority="22" dxfId="0">
      <formula>=AND(G6&lt;('تنظیمات'!$C$5+110),H6&gt;('تنظیمات'!$C$5+105),F6&gt;0)</formula>
    </cfRule>
  </conditionalFormatting>
  <conditionalFormatting sqref="AF6">
    <cfRule type="expression" priority="23" dxfId="0">
      <formula>=AND(G6&lt;('تنظیمات'!$C$5+115),H6&gt;('تنظیمات'!$C$5+110),F6&gt;0)</formula>
    </cfRule>
  </conditionalFormatting>
  <conditionalFormatting sqref="AG6">
    <cfRule type="expression" priority="24" dxfId="0">
      <formula>=AND(G6&lt;('تنظیمات'!$C$5+120),H6&gt;('تنظیمات'!$C$5+115),F6&gt;0)</formula>
    </cfRule>
  </conditionalFormatting>
  <conditionalFormatting sqref="AH6">
    <cfRule type="expression" priority="25" dxfId="0">
      <formula>=AND(G6&lt;('تنظیمات'!$C$5+125),H6&gt;('تنظیمات'!$C$5+120),F6&gt;0)</formula>
    </cfRule>
  </conditionalFormatting>
  <conditionalFormatting sqref="AI6">
    <cfRule type="expression" priority="26" dxfId="0">
      <formula>=AND(G6&lt;('تنظیمات'!$C$5+130),H6&gt;('تنظیمات'!$C$5+125),F6&gt;0)</formula>
    </cfRule>
  </conditionalFormatting>
  <conditionalFormatting sqref="AJ6">
    <cfRule type="expression" priority="27" dxfId="0">
      <formula>=AND(G6&lt;('تنظیمات'!$C$5+135),H6&gt;('تنظیمات'!$C$5+130),F6&gt;0)</formula>
    </cfRule>
  </conditionalFormatting>
  <conditionalFormatting sqref="AK6">
    <cfRule type="expression" priority="28" dxfId="0">
      <formula>=AND(G6&lt;('تنظیمات'!$C$5+140),H6&gt;('تنظیمات'!$C$5+135),F6&gt;0)</formula>
    </cfRule>
  </conditionalFormatting>
  <conditionalFormatting sqref="AL6">
    <cfRule type="expression" priority="29" dxfId="0">
      <formula>=AND(G6&lt;('تنظیمات'!$C$5+145),H6&gt;('تنظیمات'!$C$5+140),F6&gt;0)</formula>
    </cfRule>
  </conditionalFormatting>
  <conditionalFormatting sqref="AM6">
    <cfRule type="expression" priority="30" dxfId="0">
      <formula>=AND(G6&lt;('تنظیمات'!$C$5+150),H6&gt;('تنظیمات'!$C$5+145),F6&gt;0)</formula>
    </cfRule>
  </conditionalFormatting>
  <conditionalFormatting sqref="AN6">
    <cfRule type="expression" priority="31" dxfId="0">
      <formula>=AND(G6&lt;('تنظیمات'!$C$5+155),H6&gt;('تنظیمات'!$C$5+150),F6&gt;0)</formula>
    </cfRule>
  </conditionalFormatting>
  <conditionalFormatting sqref="AO6">
    <cfRule type="expression" priority="32" dxfId="0">
      <formula>=AND(G6&lt;('تنظیمات'!$C$5+160),H6&gt;('تنظیمات'!$C$5+155),F6&gt;0)</formula>
    </cfRule>
  </conditionalFormatting>
  <conditionalFormatting sqref="AP6">
    <cfRule type="expression" priority="33" dxfId="0">
      <formula>=AND(G6&lt;('تنظیمات'!$C$5+165),H6&gt;('تنظیمات'!$C$5+160),F6&gt;0)</formula>
    </cfRule>
  </conditionalFormatting>
  <conditionalFormatting sqref="AQ6">
    <cfRule type="expression" priority="34" dxfId="0">
      <formula>=AND(G6&lt;('تنظیمات'!$C$5+170),H6&gt;('تنظیمات'!$C$5+165),F6&gt;0)</formula>
    </cfRule>
  </conditionalFormatting>
  <conditionalFormatting sqref="AR6">
    <cfRule type="expression" priority="35" dxfId="0">
      <formula>=AND(G6&lt;('تنظیمات'!$C$5+175),H6&gt;('تنظیمات'!$C$5+170),F6&gt;0)</formula>
    </cfRule>
  </conditionalFormatting>
  <conditionalFormatting sqref="AS6">
    <cfRule type="expression" priority="36" dxfId="0">
      <formula>=AND(G6&lt;('تنظیمات'!$C$5+180),H6&gt;('تنظیمات'!$C$5+175),F6&gt;0)</formula>
    </cfRule>
  </conditionalFormatting>
  <conditionalFormatting sqref="AT6">
    <cfRule type="expression" priority="37" dxfId="0">
      <formula>=AND(G6&lt;('تنظیمات'!$C$5+185),H6&gt;('تنظیمات'!$C$5+180),F6&gt;0)</formula>
    </cfRule>
  </conditionalFormatting>
  <conditionalFormatting sqref="AU6">
    <cfRule type="expression" priority="38" dxfId="0">
      <formula>=AND(G6&lt;('تنظیمات'!$C$5+190),H6&gt;('تنظیمات'!$C$5+185),F6&gt;0)</formula>
    </cfRule>
  </conditionalFormatting>
  <conditionalFormatting sqref="AV6">
    <cfRule type="expression" priority="39" dxfId="0">
      <formula>=AND(G6&lt;('تنظیمات'!$C$5+195),H6&gt;('تنظیمات'!$C$5+190),F6&gt;0)</formula>
    </cfRule>
  </conditionalFormatting>
  <conditionalFormatting sqref="AW6">
    <cfRule type="expression" priority="40" dxfId="0">
      <formula>=AND(G6&lt;('تنظیمات'!$C$5+200),H6&gt;('تنظیمات'!$C$5+195),F6&gt;0)</formula>
    </cfRule>
  </conditionalFormatting>
  <conditionalFormatting sqref="J7">
    <cfRule type="expression" priority="41" dxfId="0">
      <formula>=AND(G7&lt;('تنظیمات'!$C$5+5),H7&gt;('تنظیمات'!$C$5+0),F7&gt;0)</formula>
    </cfRule>
  </conditionalFormatting>
  <conditionalFormatting sqref="K7">
    <cfRule type="expression" priority="42" dxfId="0">
      <formula>=AND(G7&lt;('تنظیمات'!$C$5+10),H7&gt;('تنظیمات'!$C$5+5),F7&gt;0)</formula>
    </cfRule>
  </conditionalFormatting>
  <conditionalFormatting sqref="L7">
    <cfRule type="expression" priority="43" dxfId="0">
      <formula>=AND(G7&lt;('تنظیمات'!$C$5+15),H7&gt;('تنظیمات'!$C$5+10),F7&gt;0)</formula>
    </cfRule>
  </conditionalFormatting>
  <conditionalFormatting sqref="M7">
    <cfRule type="expression" priority="44" dxfId="0">
      <formula>=AND(G7&lt;('تنظیمات'!$C$5+20),H7&gt;('تنظیمات'!$C$5+15),F7&gt;0)</formula>
    </cfRule>
  </conditionalFormatting>
  <conditionalFormatting sqref="N7">
    <cfRule type="expression" priority="45" dxfId="0">
      <formula>=AND(G7&lt;('تنظیمات'!$C$5+25),H7&gt;('تنظیمات'!$C$5+20),F7&gt;0)</formula>
    </cfRule>
  </conditionalFormatting>
  <conditionalFormatting sqref="O7">
    <cfRule type="expression" priority="46" dxfId="0">
      <formula>=AND(G7&lt;('تنظیمات'!$C$5+30),H7&gt;('تنظیمات'!$C$5+25),F7&gt;0)</formula>
    </cfRule>
  </conditionalFormatting>
  <conditionalFormatting sqref="P7">
    <cfRule type="expression" priority="47" dxfId="0">
      <formula>=AND(G7&lt;('تنظیمات'!$C$5+35),H7&gt;('تنظیمات'!$C$5+30),F7&gt;0)</formula>
    </cfRule>
  </conditionalFormatting>
  <conditionalFormatting sqref="Q7">
    <cfRule type="expression" priority="48" dxfId="0">
      <formula>=AND(G7&lt;('تنظیمات'!$C$5+40),H7&gt;('تنظیمات'!$C$5+35),F7&gt;0)</formula>
    </cfRule>
  </conditionalFormatting>
  <conditionalFormatting sqref="R7">
    <cfRule type="expression" priority="49" dxfId="0">
      <formula>=AND(G7&lt;('تنظیمات'!$C$5+45),H7&gt;('تنظیمات'!$C$5+40),F7&gt;0)</formula>
    </cfRule>
  </conditionalFormatting>
  <conditionalFormatting sqref="S7">
    <cfRule type="expression" priority="50" dxfId="0">
      <formula>=AND(G7&lt;('تنظیمات'!$C$5+50),H7&gt;('تنظیمات'!$C$5+45),F7&gt;0)</formula>
    </cfRule>
  </conditionalFormatting>
  <conditionalFormatting sqref="T7">
    <cfRule type="expression" priority="51" dxfId="0">
      <formula>=AND(G7&lt;('تنظیمات'!$C$5+55),H7&gt;('تنظیمات'!$C$5+50),F7&gt;0)</formula>
    </cfRule>
  </conditionalFormatting>
  <conditionalFormatting sqref="U7">
    <cfRule type="expression" priority="52" dxfId="0">
      <formula>=AND(G7&lt;('تنظیمات'!$C$5+60),H7&gt;('تنظیمات'!$C$5+55),F7&gt;0)</formula>
    </cfRule>
  </conditionalFormatting>
  <conditionalFormatting sqref="V7">
    <cfRule type="expression" priority="53" dxfId="0">
      <formula>=AND(G7&lt;('تنظیمات'!$C$5+65),H7&gt;('تنظیمات'!$C$5+60),F7&gt;0)</formula>
    </cfRule>
  </conditionalFormatting>
  <conditionalFormatting sqref="W7">
    <cfRule type="expression" priority="54" dxfId="0">
      <formula>=AND(G7&lt;('تنظیمات'!$C$5+70),H7&gt;('تنظیمات'!$C$5+65),F7&gt;0)</formula>
    </cfRule>
  </conditionalFormatting>
  <conditionalFormatting sqref="X7">
    <cfRule type="expression" priority="55" dxfId="0">
      <formula>=AND(G7&lt;('تنظیمات'!$C$5+75),H7&gt;('تنظیمات'!$C$5+70),F7&gt;0)</formula>
    </cfRule>
  </conditionalFormatting>
  <conditionalFormatting sqref="Y7">
    <cfRule type="expression" priority="56" dxfId="0">
      <formula>=AND(G7&lt;('تنظیمات'!$C$5+80),H7&gt;('تنظیمات'!$C$5+75),F7&gt;0)</formula>
    </cfRule>
  </conditionalFormatting>
  <conditionalFormatting sqref="Z7">
    <cfRule type="expression" priority="57" dxfId="0">
      <formula>=AND(G7&lt;('تنظیمات'!$C$5+85),H7&gt;('تنظیمات'!$C$5+80),F7&gt;0)</formula>
    </cfRule>
  </conditionalFormatting>
  <conditionalFormatting sqref="AA7">
    <cfRule type="expression" priority="58" dxfId="0">
      <formula>=AND(G7&lt;('تنظیمات'!$C$5+90),H7&gt;('تنظیمات'!$C$5+85),F7&gt;0)</formula>
    </cfRule>
  </conditionalFormatting>
  <conditionalFormatting sqref="AB7">
    <cfRule type="expression" priority="59" dxfId="0">
      <formula>=AND(G7&lt;('تنظیمات'!$C$5+95),H7&gt;('تنظیمات'!$C$5+90),F7&gt;0)</formula>
    </cfRule>
  </conditionalFormatting>
  <conditionalFormatting sqref="AC7">
    <cfRule type="expression" priority="60" dxfId="0">
      <formula>=AND(G7&lt;('تنظیمات'!$C$5+100),H7&gt;('تنظیمات'!$C$5+95),F7&gt;0)</formula>
    </cfRule>
  </conditionalFormatting>
  <conditionalFormatting sqref="AD7">
    <cfRule type="expression" priority="61" dxfId="0">
      <formula>=AND(G7&lt;('تنظیمات'!$C$5+105),H7&gt;('تنظیمات'!$C$5+100),F7&gt;0)</formula>
    </cfRule>
  </conditionalFormatting>
  <conditionalFormatting sqref="AE7">
    <cfRule type="expression" priority="62" dxfId="0">
      <formula>=AND(G7&lt;('تنظیمات'!$C$5+110),H7&gt;('تنظیمات'!$C$5+105),F7&gt;0)</formula>
    </cfRule>
  </conditionalFormatting>
  <conditionalFormatting sqref="AF7">
    <cfRule type="expression" priority="63" dxfId="0">
      <formula>=AND(G7&lt;('تنظیمات'!$C$5+115),H7&gt;('تنظیمات'!$C$5+110),F7&gt;0)</formula>
    </cfRule>
  </conditionalFormatting>
  <conditionalFormatting sqref="AG7">
    <cfRule type="expression" priority="64" dxfId="0">
      <formula>=AND(G7&lt;('تنظیمات'!$C$5+120),H7&gt;('تنظیمات'!$C$5+115),F7&gt;0)</formula>
    </cfRule>
  </conditionalFormatting>
  <conditionalFormatting sqref="AH7">
    <cfRule type="expression" priority="65" dxfId="0">
      <formula>=AND(G7&lt;('تنظیمات'!$C$5+125),H7&gt;('تنظیمات'!$C$5+120),F7&gt;0)</formula>
    </cfRule>
  </conditionalFormatting>
  <conditionalFormatting sqref="AI7">
    <cfRule type="expression" priority="66" dxfId="0">
      <formula>=AND(G7&lt;('تنظیمات'!$C$5+130),H7&gt;('تنظیمات'!$C$5+125),F7&gt;0)</formula>
    </cfRule>
  </conditionalFormatting>
  <conditionalFormatting sqref="AJ7">
    <cfRule type="expression" priority="67" dxfId="0">
      <formula>=AND(G7&lt;('تنظیمات'!$C$5+135),H7&gt;('تنظیمات'!$C$5+130),F7&gt;0)</formula>
    </cfRule>
  </conditionalFormatting>
  <conditionalFormatting sqref="AK7">
    <cfRule type="expression" priority="68" dxfId="0">
      <formula>=AND(G7&lt;('تنظیمات'!$C$5+140),H7&gt;('تنظیمات'!$C$5+135),F7&gt;0)</formula>
    </cfRule>
  </conditionalFormatting>
  <conditionalFormatting sqref="AL7">
    <cfRule type="expression" priority="69" dxfId="0">
      <formula>=AND(G7&lt;('تنظیمات'!$C$5+145),H7&gt;('تنظیمات'!$C$5+140),F7&gt;0)</formula>
    </cfRule>
  </conditionalFormatting>
  <conditionalFormatting sqref="AM7">
    <cfRule type="expression" priority="70" dxfId="0">
      <formula>=AND(G7&lt;('تنظیمات'!$C$5+150),H7&gt;('تنظیمات'!$C$5+145),F7&gt;0)</formula>
    </cfRule>
  </conditionalFormatting>
  <conditionalFormatting sqref="AN7">
    <cfRule type="expression" priority="71" dxfId="0">
      <formula>=AND(G7&lt;('تنظیمات'!$C$5+155),H7&gt;('تنظیمات'!$C$5+150),F7&gt;0)</formula>
    </cfRule>
  </conditionalFormatting>
  <conditionalFormatting sqref="AO7">
    <cfRule type="expression" priority="72" dxfId="0">
      <formula>=AND(G7&lt;('تنظیمات'!$C$5+160),H7&gt;('تنظیمات'!$C$5+155),F7&gt;0)</formula>
    </cfRule>
  </conditionalFormatting>
  <conditionalFormatting sqref="AP7">
    <cfRule type="expression" priority="73" dxfId="0">
      <formula>=AND(G7&lt;('تنظیمات'!$C$5+165),H7&gt;('تنظیمات'!$C$5+160),F7&gt;0)</formula>
    </cfRule>
  </conditionalFormatting>
  <conditionalFormatting sqref="AQ7">
    <cfRule type="expression" priority="74" dxfId="0">
      <formula>=AND(G7&lt;('تنظیمات'!$C$5+170),H7&gt;('تنظیمات'!$C$5+165),F7&gt;0)</formula>
    </cfRule>
  </conditionalFormatting>
  <conditionalFormatting sqref="AR7">
    <cfRule type="expression" priority="75" dxfId="0">
      <formula>=AND(G7&lt;('تنظیمات'!$C$5+175),H7&gt;('تنظیمات'!$C$5+170),F7&gt;0)</formula>
    </cfRule>
  </conditionalFormatting>
  <conditionalFormatting sqref="AS7">
    <cfRule type="expression" priority="76" dxfId="0">
      <formula>=AND(G7&lt;('تنظیمات'!$C$5+180),H7&gt;('تنظیمات'!$C$5+175),F7&gt;0)</formula>
    </cfRule>
  </conditionalFormatting>
  <conditionalFormatting sqref="AT7">
    <cfRule type="expression" priority="77" dxfId="0">
      <formula>=AND(G7&lt;('تنظیمات'!$C$5+185),H7&gt;('تنظیمات'!$C$5+180),F7&gt;0)</formula>
    </cfRule>
  </conditionalFormatting>
  <conditionalFormatting sqref="AU7">
    <cfRule type="expression" priority="78" dxfId="0">
      <formula>=AND(G7&lt;('تنظیمات'!$C$5+190),H7&gt;('تنظیمات'!$C$5+185),F7&gt;0)</formula>
    </cfRule>
  </conditionalFormatting>
  <conditionalFormatting sqref="AV7">
    <cfRule type="expression" priority="79" dxfId="0">
      <formula>=AND(G7&lt;('تنظیمات'!$C$5+195),H7&gt;('تنظیمات'!$C$5+190),F7&gt;0)</formula>
    </cfRule>
  </conditionalFormatting>
  <conditionalFormatting sqref="AW7">
    <cfRule type="expression" priority="80" dxfId="0">
      <formula>=AND(G7&lt;('تنظیمات'!$C$5+200),H7&gt;('تنظیمات'!$C$5+195),F7&gt;0)</formula>
    </cfRule>
  </conditionalFormatting>
  <conditionalFormatting sqref="J8">
    <cfRule type="expression" priority="81" dxfId="0">
      <formula>=AND(G8&lt;('تنظیمات'!$C$5+5),H8&gt;('تنظیمات'!$C$5+0),F8&gt;0)</formula>
    </cfRule>
  </conditionalFormatting>
  <conditionalFormatting sqref="K8">
    <cfRule type="expression" priority="82" dxfId="0">
      <formula>=AND(G8&lt;('تنظیمات'!$C$5+10),H8&gt;('تنظیمات'!$C$5+5),F8&gt;0)</formula>
    </cfRule>
  </conditionalFormatting>
  <conditionalFormatting sqref="L8">
    <cfRule type="expression" priority="83" dxfId="0">
      <formula>=AND(G8&lt;('تنظیمات'!$C$5+15),H8&gt;('تنظیمات'!$C$5+10),F8&gt;0)</formula>
    </cfRule>
  </conditionalFormatting>
  <conditionalFormatting sqref="M8">
    <cfRule type="expression" priority="84" dxfId="0">
      <formula>=AND(G8&lt;('تنظیمات'!$C$5+20),H8&gt;('تنظیمات'!$C$5+15),F8&gt;0)</formula>
    </cfRule>
  </conditionalFormatting>
  <conditionalFormatting sqref="N8">
    <cfRule type="expression" priority="85" dxfId="0">
      <formula>=AND(G8&lt;('تنظیمات'!$C$5+25),H8&gt;('تنظیمات'!$C$5+20),F8&gt;0)</formula>
    </cfRule>
  </conditionalFormatting>
  <conditionalFormatting sqref="O8">
    <cfRule type="expression" priority="86" dxfId="0">
      <formula>=AND(G8&lt;('تنظیمات'!$C$5+30),H8&gt;('تنظیمات'!$C$5+25),F8&gt;0)</formula>
    </cfRule>
  </conditionalFormatting>
  <conditionalFormatting sqref="P8">
    <cfRule type="expression" priority="87" dxfId="0">
      <formula>=AND(G8&lt;('تنظیمات'!$C$5+35),H8&gt;('تنظیمات'!$C$5+30),F8&gt;0)</formula>
    </cfRule>
  </conditionalFormatting>
  <conditionalFormatting sqref="Q8">
    <cfRule type="expression" priority="88" dxfId="0">
      <formula>=AND(G8&lt;('تنظیمات'!$C$5+40),H8&gt;('تنظیمات'!$C$5+35),F8&gt;0)</formula>
    </cfRule>
  </conditionalFormatting>
  <conditionalFormatting sqref="R8">
    <cfRule type="expression" priority="89" dxfId="0">
      <formula>=AND(G8&lt;('تنظیمات'!$C$5+45),H8&gt;('تنظیمات'!$C$5+40),F8&gt;0)</formula>
    </cfRule>
  </conditionalFormatting>
  <conditionalFormatting sqref="S8">
    <cfRule type="expression" priority="90" dxfId="0">
      <formula>=AND(G8&lt;('تنظیمات'!$C$5+50),H8&gt;('تنظیمات'!$C$5+45),F8&gt;0)</formula>
    </cfRule>
  </conditionalFormatting>
  <conditionalFormatting sqref="T8">
    <cfRule type="expression" priority="91" dxfId="0">
      <formula>=AND(G8&lt;('تنظیمات'!$C$5+55),H8&gt;('تنظیمات'!$C$5+50),F8&gt;0)</formula>
    </cfRule>
  </conditionalFormatting>
  <conditionalFormatting sqref="U8">
    <cfRule type="expression" priority="92" dxfId="0">
      <formula>=AND(G8&lt;('تنظیمات'!$C$5+60),H8&gt;('تنظیمات'!$C$5+55),F8&gt;0)</formula>
    </cfRule>
  </conditionalFormatting>
  <conditionalFormatting sqref="V8">
    <cfRule type="expression" priority="93" dxfId="0">
      <formula>=AND(G8&lt;('تنظیمات'!$C$5+65),H8&gt;('تنظیمات'!$C$5+60),F8&gt;0)</formula>
    </cfRule>
  </conditionalFormatting>
  <conditionalFormatting sqref="W8">
    <cfRule type="expression" priority="94" dxfId="0">
      <formula>=AND(G8&lt;('تنظیمات'!$C$5+70),H8&gt;('تنظیمات'!$C$5+65),F8&gt;0)</formula>
    </cfRule>
  </conditionalFormatting>
  <conditionalFormatting sqref="X8">
    <cfRule type="expression" priority="95" dxfId="0">
      <formula>=AND(G8&lt;('تنظیمات'!$C$5+75),H8&gt;('تنظیمات'!$C$5+70),F8&gt;0)</formula>
    </cfRule>
  </conditionalFormatting>
  <conditionalFormatting sqref="Y8">
    <cfRule type="expression" priority="96" dxfId="0">
      <formula>=AND(G8&lt;('تنظیمات'!$C$5+80),H8&gt;('تنظیمات'!$C$5+75),F8&gt;0)</formula>
    </cfRule>
  </conditionalFormatting>
  <conditionalFormatting sqref="Z8">
    <cfRule type="expression" priority="97" dxfId="0">
      <formula>=AND(G8&lt;('تنظیمات'!$C$5+85),H8&gt;('تنظیمات'!$C$5+80),F8&gt;0)</formula>
    </cfRule>
  </conditionalFormatting>
  <conditionalFormatting sqref="AA8">
    <cfRule type="expression" priority="98" dxfId="0">
      <formula>=AND(G8&lt;('تنظیمات'!$C$5+90),H8&gt;('تنظیمات'!$C$5+85),F8&gt;0)</formula>
    </cfRule>
  </conditionalFormatting>
  <conditionalFormatting sqref="AB8">
    <cfRule type="expression" priority="99" dxfId="0">
      <formula>=AND(G8&lt;('تنظیمات'!$C$5+95),H8&gt;('تنظیمات'!$C$5+90),F8&gt;0)</formula>
    </cfRule>
  </conditionalFormatting>
  <conditionalFormatting sqref="AC8">
    <cfRule type="expression" priority="100" dxfId="0">
      <formula>=AND(G8&lt;('تنظیمات'!$C$5+100),H8&gt;('تنظیمات'!$C$5+95),F8&gt;0)</formula>
    </cfRule>
  </conditionalFormatting>
  <conditionalFormatting sqref="AD8">
    <cfRule type="expression" priority="101" dxfId="0">
      <formula>=AND(G8&lt;('تنظیمات'!$C$5+105),H8&gt;('تنظیمات'!$C$5+100),F8&gt;0)</formula>
    </cfRule>
  </conditionalFormatting>
  <conditionalFormatting sqref="AE8">
    <cfRule type="expression" priority="102" dxfId="0">
      <formula>=AND(G8&lt;('تنظیمات'!$C$5+110),H8&gt;('تنظیمات'!$C$5+105),F8&gt;0)</formula>
    </cfRule>
  </conditionalFormatting>
  <conditionalFormatting sqref="AF8">
    <cfRule type="expression" priority="103" dxfId="0">
      <formula>=AND(G8&lt;('تنظیمات'!$C$5+115),H8&gt;('تنظیمات'!$C$5+110),F8&gt;0)</formula>
    </cfRule>
  </conditionalFormatting>
  <conditionalFormatting sqref="AG8">
    <cfRule type="expression" priority="104" dxfId="0">
      <formula>=AND(G8&lt;('تنظیمات'!$C$5+120),H8&gt;('تنظیمات'!$C$5+115),F8&gt;0)</formula>
    </cfRule>
  </conditionalFormatting>
  <conditionalFormatting sqref="AH8">
    <cfRule type="expression" priority="105" dxfId="0">
      <formula>=AND(G8&lt;('تنظیمات'!$C$5+125),H8&gt;('تنظیمات'!$C$5+120),F8&gt;0)</formula>
    </cfRule>
  </conditionalFormatting>
  <conditionalFormatting sqref="AI8">
    <cfRule type="expression" priority="106" dxfId="0">
      <formula>=AND(G8&lt;('تنظیمات'!$C$5+130),H8&gt;('تنظیمات'!$C$5+125),F8&gt;0)</formula>
    </cfRule>
  </conditionalFormatting>
  <conditionalFormatting sqref="AJ8">
    <cfRule type="expression" priority="107" dxfId="0">
      <formula>=AND(G8&lt;('تنظیمات'!$C$5+135),H8&gt;('تنظیمات'!$C$5+130),F8&gt;0)</formula>
    </cfRule>
  </conditionalFormatting>
  <conditionalFormatting sqref="AK8">
    <cfRule type="expression" priority="108" dxfId="0">
      <formula>=AND(G8&lt;('تنظیمات'!$C$5+140),H8&gt;('تنظیمات'!$C$5+135),F8&gt;0)</formula>
    </cfRule>
  </conditionalFormatting>
  <conditionalFormatting sqref="AL8">
    <cfRule type="expression" priority="109" dxfId="0">
      <formula>=AND(G8&lt;('تنظیمات'!$C$5+145),H8&gt;('تنظیمات'!$C$5+140),F8&gt;0)</formula>
    </cfRule>
  </conditionalFormatting>
  <conditionalFormatting sqref="AM8">
    <cfRule type="expression" priority="110" dxfId="0">
      <formula>=AND(G8&lt;('تنظیمات'!$C$5+150),H8&gt;('تنظیمات'!$C$5+145),F8&gt;0)</formula>
    </cfRule>
  </conditionalFormatting>
  <conditionalFormatting sqref="AN8">
    <cfRule type="expression" priority="111" dxfId="0">
      <formula>=AND(G8&lt;('تنظیمات'!$C$5+155),H8&gt;('تنظیمات'!$C$5+150),F8&gt;0)</formula>
    </cfRule>
  </conditionalFormatting>
  <conditionalFormatting sqref="AO8">
    <cfRule type="expression" priority="112" dxfId="0">
      <formula>=AND(G8&lt;('تنظیمات'!$C$5+160),H8&gt;('تنظیمات'!$C$5+155),F8&gt;0)</formula>
    </cfRule>
  </conditionalFormatting>
  <conditionalFormatting sqref="AP8">
    <cfRule type="expression" priority="113" dxfId="0">
      <formula>=AND(G8&lt;('تنظیمات'!$C$5+165),H8&gt;('تنظیمات'!$C$5+160),F8&gt;0)</formula>
    </cfRule>
  </conditionalFormatting>
  <conditionalFormatting sqref="AQ8">
    <cfRule type="expression" priority="114" dxfId="0">
      <formula>=AND(G8&lt;('تنظیمات'!$C$5+170),H8&gt;('تنظیمات'!$C$5+165),F8&gt;0)</formula>
    </cfRule>
  </conditionalFormatting>
  <conditionalFormatting sqref="AR8">
    <cfRule type="expression" priority="115" dxfId="0">
      <formula>=AND(G8&lt;('تنظیمات'!$C$5+175),H8&gt;('تنظیمات'!$C$5+170),F8&gt;0)</formula>
    </cfRule>
  </conditionalFormatting>
  <conditionalFormatting sqref="AS8">
    <cfRule type="expression" priority="116" dxfId="0">
      <formula>=AND(G8&lt;('تنظیمات'!$C$5+180),H8&gt;('تنظیمات'!$C$5+175),F8&gt;0)</formula>
    </cfRule>
  </conditionalFormatting>
  <conditionalFormatting sqref="AT8">
    <cfRule type="expression" priority="117" dxfId="0">
      <formula>=AND(G8&lt;('تنظیمات'!$C$5+185),H8&gt;('تنظیمات'!$C$5+180),F8&gt;0)</formula>
    </cfRule>
  </conditionalFormatting>
  <conditionalFormatting sqref="AU8">
    <cfRule type="expression" priority="118" dxfId="0">
      <formula>=AND(G8&lt;('تنظیمات'!$C$5+190),H8&gt;('تنظیمات'!$C$5+185),F8&gt;0)</formula>
    </cfRule>
  </conditionalFormatting>
  <conditionalFormatting sqref="AV8">
    <cfRule type="expression" priority="119" dxfId="0">
      <formula>=AND(G8&lt;('تنظیمات'!$C$5+195),H8&gt;('تنظیمات'!$C$5+190),F8&gt;0)</formula>
    </cfRule>
  </conditionalFormatting>
  <conditionalFormatting sqref="AW8">
    <cfRule type="expression" priority="120" dxfId="0">
      <formula>=AND(G8&lt;('تنظیمات'!$C$5+200),H8&gt;('تنظیمات'!$C$5+195),F8&gt;0)</formula>
    </cfRule>
  </conditionalFormatting>
  <conditionalFormatting sqref="J9">
    <cfRule type="expression" priority="121" dxfId="0">
      <formula>=AND(G9&lt;('تنظیمات'!$C$5+5),H9&gt;('تنظیمات'!$C$5+0),F9&gt;0)</formula>
    </cfRule>
  </conditionalFormatting>
  <conditionalFormatting sqref="K9">
    <cfRule type="expression" priority="122" dxfId="0">
      <formula>=AND(G9&lt;('تنظیمات'!$C$5+10),H9&gt;('تنظیمات'!$C$5+5),F9&gt;0)</formula>
    </cfRule>
  </conditionalFormatting>
  <conditionalFormatting sqref="L9">
    <cfRule type="expression" priority="123" dxfId="0">
      <formula>=AND(G9&lt;('تنظیمات'!$C$5+15),H9&gt;('تنظیمات'!$C$5+10),F9&gt;0)</formula>
    </cfRule>
  </conditionalFormatting>
  <conditionalFormatting sqref="M9">
    <cfRule type="expression" priority="124" dxfId="0">
      <formula>=AND(G9&lt;('تنظیمات'!$C$5+20),H9&gt;('تنظیمات'!$C$5+15),F9&gt;0)</formula>
    </cfRule>
  </conditionalFormatting>
  <conditionalFormatting sqref="N9">
    <cfRule type="expression" priority="125" dxfId="0">
      <formula>=AND(G9&lt;('تنظیمات'!$C$5+25),H9&gt;('تنظیمات'!$C$5+20),F9&gt;0)</formula>
    </cfRule>
  </conditionalFormatting>
  <conditionalFormatting sqref="O9">
    <cfRule type="expression" priority="126" dxfId="0">
      <formula>=AND(G9&lt;('تنظیمات'!$C$5+30),H9&gt;('تنظیمات'!$C$5+25),F9&gt;0)</formula>
    </cfRule>
  </conditionalFormatting>
  <conditionalFormatting sqref="P9">
    <cfRule type="expression" priority="127" dxfId="0">
      <formula>=AND(G9&lt;('تنظیمات'!$C$5+35),H9&gt;('تنظیمات'!$C$5+30),F9&gt;0)</formula>
    </cfRule>
  </conditionalFormatting>
  <conditionalFormatting sqref="Q9">
    <cfRule type="expression" priority="128" dxfId="0">
      <formula>=AND(G9&lt;('تنظیمات'!$C$5+40),H9&gt;('تنظیمات'!$C$5+35),F9&gt;0)</formula>
    </cfRule>
  </conditionalFormatting>
  <conditionalFormatting sqref="R9">
    <cfRule type="expression" priority="129" dxfId="0">
      <formula>=AND(G9&lt;('تنظیمات'!$C$5+45),H9&gt;('تنظیمات'!$C$5+40),F9&gt;0)</formula>
    </cfRule>
  </conditionalFormatting>
  <conditionalFormatting sqref="S9">
    <cfRule type="expression" priority="130" dxfId="0">
      <formula>=AND(G9&lt;('تنظیمات'!$C$5+50),H9&gt;('تنظیمات'!$C$5+45),F9&gt;0)</formula>
    </cfRule>
  </conditionalFormatting>
  <conditionalFormatting sqref="T9">
    <cfRule type="expression" priority="131" dxfId="0">
      <formula>=AND(G9&lt;('تنظیمات'!$C$5+55),H9&gt;('تنظیمات'!$C$5+50),F9&gt;0)</formula>
    </cfRule>
  </conditionalFormatting>
  <conditionalFormatting sqref="U9">
    <cfRule type="expression" priority="132" dxfId="0">
      <formula>=AND(G9&lt;('تنظیمات'!$C$5+60),H9&gt;('تنظیمات'!$C$5+55),F9&gt;0)</formula>
    </cfRule>
  </conditionalFormatting>
  <conditionalFormatting sqref="V9">
    <cfRule type="expression" priority="133" dxfId="0">
      <formula>=AND(G9&lt;('تنظیمات'!$C$5+65),H9&gt;('تنظیمات'!$C$5+60),F9&gt;0)</formula>
    </cfRule>
  </conditionalFormatting>
  <conditionalFormatting sqref="W9">
    <cfRule type="expression" priority="134" dxfId="0">
      <formula>=AND(G9&lt;('تنظیمات'!$C$5+70),H9&gt;('تنظیمات'!$C$5+65),F9&gt;0)</formula>
    </cfRule>
  </conditionalFormatting>
  <conditionalFormatting sqref="X9">
    <cfRule type="expression" priority="135" dxfId="0">
      <formula>=AND(G9&lt;('تنظیمات'!$C$5+75),H9&gt;('تنظیمات'!$C$5+70),F9&gt;0)</formula>
    </cfRule>
  </conditionalFormatting>
  <conditionalFormatting sqref="Y9">
    <cfRule type="expression" priority="136" dxfId="0">
      <formula>=AND(G9&lt;('تنظیمات'!$C$5+80),H9&gt;('تنظیمات'!$C$5+75),F9&gt;0)</formula>
    </cfRule>
  </conditionalFormatting>
  <conditionalFormatting sqref="Z9">
    <cfRule type="expression" priority="137" dxfId="0">
      <formula>=AND(G9&lt;('تنظیمات'!$C$5+85),H9&gt;('تنظیمات'!$C$5+80),F9&gt;0)</formula>
    </cfRule>
  </conditionalFormatting>
  <conditionalFormatting sqref="AA9">
    <cfRule type="expression" priority="138" dxfId="0">
      <formula>=AND(G9&lt;('تنظیمات'!$C$5+90),H9&gt;('تنظیمات'!$C$5+85),F9&gt;0)</formula>
    </cfRule>
  </conditionalFormatting>
  <conditionalFormatting sqref="AB9">
    <cfRule type="expression" priority="139" dxfId="0">
      <formula>=AND(G9&lt;('تنظیمات'!$C$5+95),H9&gt;('تنظیمات'!$C$5+90),F9&gt;0)</formula>
    </cfRule>
  </conditionalFormatting>
  <conditionalFormatting sqref="AC9">
    <cfRule type="expression" priority="140" dxfId="0">
      <formula>=AND(G9&lt;('تنظیمات'!$C$5+100),H9&gt;('تنظیمات'!$C$5+95),F9&gt;0)</formula>
    </cfRule>
  </conditionalFormatting>
  <conditionalFormatting sqref="AD9">
    <cfRule type="expression" priority="141" dxfId="0">
      <formula>=AND(G9&lt;('تنظیمات'!$C$5+105),H9&gt;('تنظیمات'!$C$5+100),F9&gt;0)</formula>
    </cfRule>
  </conditionalFormatting>
  <conditionalFormatting sqref="AE9">
    <cfRule type="expression" priority="142" dxfId="0">
      <formula>=AND(G9&lt;('تنظیمات'!$C$5+110),H9&gt;('تنظیمات'!$C$5+105),F9&gt;0)</formula>
    </cfRule>
  </conditionalFormatting>
  <conditionalFormatting sqref="AF9">
    <cfRule type="expression" priority="143" dxfId="0">
      <formula>=AND(G9&lt;('تنظیمات'!$C$5+115),H9&gt;('تنظیمات'!$C$5+110),F9&gt;0)</formula>
    </cfRule>
  </conditionalFormatting>
  <conditionalFormatting sqref="AG9">
    <cfRule type="expression" priority="144" dxfId="0">
      <formula>=AND(G9&lt;('تنظیمات'!$C$5+120),H9&gt;('تنظیمات'!$C$5+115),F9&gt;0)</formula>
    </cfRule>
  </conditionalFormatting>
  <conditionalFormatting sqref="AH9">
    <cfRule type="expression" priority="145" dxfId="0">
      <formula>=AND(G9&lt;('تنظیمات'!$C$5+125),H9&gt;('تنظیمات'!$C$5+120),F9&gt;0)</formula>
    </cfRule>
  </conditionalFormatting>
  <conditionalFormatting sqref="AI9">
    <cfRule type="expression" priority="146" dxfId="0">
      <formula>=AND(G9&lt;('تنظیمات'!$C$5+130),H9&gt;('تنظیمات'!$C$5+125),F9&gt;0)</formula>
    </cfRule>
  </conditionalFormatting>
  <conditionalFormatting sqref="AJ9">
    <cfRule type="expression" priority="147" dxfId="0">
      <formula>=AND(G9&lt;('تنظیمات'!$C$5+135),H9&gt;('تنظیمات'!$C$5+130),F9&gt;0)</formula>
    </cfRule>
  </conditionalFormatting>
  <conditionalFormatting sqref="AK9">
    <cfRule type="expression" priority="148" dxfId="0">
      <formula>=AND(G9&lt;('تنظیمات'!$C$5+140),H9&gt;('تنظیمات'!$C$5+135),F9&gt;0)</formula>
    </cfRule>
  </conditionalFormatting>
  <conditionalFormatting sqref="AL9">
    <cfRule type="expression" priority="149" dxfId="0">
      <formula>=AND(G9&lt;('تنظیمات'!$C$5+145),H9&gt;('تنظیمات'!$C$5+140),F9&gt;0)</formula>
    </cfRule>
  </conditionalFormatting>
  <conditionalFormatting sqref="AM9">
    <cfRule type="expression" priority="150" dxfId="0">
      <formula>=AND(G9&lt;('تنظیمات'!$C$5+150),H9&gt;('تنظیمات'!$C$5+145),F9&gt;0)</formula>
    </cfRule>
  </conditionalFormatting>
  <conditionalFormatting sqref="AN9">
    <cfRule type="expression" priority="151" dxfId="0">
      <formula>=AND(G9&lt;('تنظیمات'!$C$5+155),H9&gt;('تنظیمات'!$C$5+150),F9&gt;0)</formula>
    </cfRule>
  </conditionalFormatting>
  <conditionalFormatting sqref="AO9">
    <cfRule type="expression" priority="152" dxfId="0">
      <formula>=AND(G9&lt;('تنظیمات'!$C$5+160),H9&gt;('تنظیمات'!$C$5+155),F9&gt;0)</formula>
    </cfRule>
  </conditionalFormatting>
  <conditionalFormatting sqref="AP9">
    <cfRule type="expression" priority="153" dxfId="0">
      <formula>=AND(G9&lt;('تنظیمات'!$C$5+165),H9&gt;('تنظیمات'!$C$5+160),F9&gt;0)</formula>
    </cfRule>
  </conditionalFormatting>
  <conditionalFormatting sqref="AQ9">
    <cfRule type="expression" priority="154" dxfId="0">
      <formula>=AND(G9&lt;('تنظیمات'!$C$5+170),H9&gt;('تنظیمات'!$C$5+165),F9&gt;0)</formula>
    </cfRule>
  </conditionalFormatting>
  <conditionalFormatting sqref="AR9">
    <cfRule type="expression" priority="155" dxfId="0">
      <formula>=AND(G9&lt;('تنظیمات'!$C$5+175),H9&gt;('تنظیمات'!$C$5+170),F9&gt;0)</formula>
    </cfRule>
  </conditionalFormatting>
  <conditionalFormatting sqref="AS9">
    <cfRule type="expression" priority="156" dxfId="0">
      <formula>=AND(G9&lt;('تنظیمات'!$C$5+180),H9&gt;('تنظیمات'!$C$5+175),F9&gt;0)</formula>
    </cfRule>
  </conditionalFormatting>
  <conditionalFormatting sqref="AT9">
    <cfRule type="expression" priority="157" dxfId="0">
      <formula>=AND(G9&lt;('تنظیمات'!$C$5+185),H9&gt;('تنظیمات'!$C$5+180),F9&gt;0)</formula>
    </cfRule>
  </conditionalFormatting>
  <conditionalFormatting sqref="AU9">
    <cfRule type="expression" priority="158" dxfId="0">
      <formula>=AND(G9&lt;('تنظیمات'!$C$5+190),H9&gt;('تنظیمات'!$C$5+185),F9&gt;0)</formula>
    </cfRule>
  </conditionalFormatting>
  <conditionalFormatting sqref="AV9">
    <cfRule type="expression" priority="159" dxfId="0">
      <formula>=AND(G9&lt;('تنظیمات'!$C$5+195),H9&gt;('تنظیمات'!$C$5+190),F9&gt;0)</formula>
    </cfRule>
  </conditionalFormatting>
  <conditionalFormatting sqref="AW9">
    <cfRule type="expression" priority="160" dxfId="0">
      <formula>=AND(G9&lt;('تنظیمات'!$C$5+200),H9&gt;('تنظیمات'!$C$5+195),F9&gt;0)</formula>
    </cfRule>
  </conditionalFormatting>
  <conditionalFormatting sqref="J10">
    <cfRule type="expression" priority="161" dxfId="0">
      <formula>=AND(G10&lt;('تنظیمات'!$C$5+5),H10&gt;('تنظیمات'!$C$5+0),F10&gt;0)</formula>
    </cfRule>
  </conditionalFormatting>
  <conditionalFormatting sqref="K10">
    <cfRule type="expression" priority="162" dxfId="0">
      <formula>=AND(G10&lt;('تنظیمات'!$C$5+10),H10&gt;('تنظیمات'!$C$5+5),F10&gt;0)</formula>
    </cfRule>
  </conditionalFormatting>
  <conditionalFormatting sqref="L10">
    <cfRule type="expression" priority="163" dxfId="0">
      <formula>=AND(G10&lt;('تنظیمات'!$C$5+15),H10&gt;('تنظیمات'!$C$5+10),F10&gt;0)</formula>
    </cfRule>
  </conditionalFormatting>
  <conditionalFormatting sqref="M10">
    <cfRule type="expression" priority="164" dxfId="0">
      <formula>=AND(G10&lt;('تنظیمات'!$C$5+20),H10&gt;('تنظیمات'!$C$5+15),F10&gt;0)</formula>
    </cfRule>
  </conditionalFormatting>
  <conditionalFormatting sqref="N10">
    <cfRule type="expression" priority="165" dxfId="0">
      <formula>=AND(G10&lt;('تنظیمات'!$C$5+25),H10&gt;('تنظیمات'!$C$5+20),F10&gt;0)</formula>
    </cfRule>
  </conditionalFormatting>
  <conditionalFormatting sqref="O10">
    <cfRule type="expression" priority="166" dxfId="0">
      <formula>=AND(G10&lt;('تنظیمات'!$C$5+30),H10&gt;('تنظیمات'!$C$5+25),F10&gt;0)</formula>
    </cfRule>
  </conditionalFormatting>
  <conditionalFormatting sqref="P10">
    <cfRule type="expression" priority="167" dxfId="0">
      <formula>=AND(G10&lt;('تنظیمات'!$C$5+35),H10&gt;('تنظیمات'!$C$5+30),F10&gt;0)</formula>
    </cfRule>
  </conditionalFormatting>
  <conditionalFormatting sqref="Q10">
    <cfRule type="expression" priority="168" dxfId="0">
      <formula>=AND(G10&lt;('تنظیمات'!$C$5+40),H10&gt;('تنظیمات'!$C$5+35),F10&gt;0)</formula>
    </cfRule>
  </conditionalFormatting>
  <conditionalFormatting sqref="R10">
    <cfRule type="expression" priority="169" dxfId="0">
      <formula>=AND(G10&lt;('تنظیمات'!$C$5+45),H10&gt;('تنظیمات'!$C$5+40),F10&gt;0)</formula>
    </cfRule>
  </conditionalFormatting>
  <conditionalFormatting sqref="S10">
    <cfRule type="expression" priority="170" dxfId="0">
      <formula>=AND(G10&lt;('تنظیمات'!$C$5+50),H10&gt;('تنظیمات'!$C$5+45),F10&gt;0)</formula>
    </cfRule>
  </conditionalFormatting>
  <conditionalFormatting sqref="T10">
    <cfRule type="expression" priority="171" dxfId="0">
      <formula>=AND(G10&lt;('تنظیمات'!$C$5+55),H10&gt;('تنظیمات'!$C$5+50),F10&gt;0)</formula>
    </cfRule>
  </conditionalFormatting>
  <conditionalFormatting sqref="U10">
    <cfRule type="expression" priority="172" dxfId="0">
      <formula>=AND(G10&lt;('تنظیمات'!$C$5+60),H10&gt;('تنظیمات'!$C$5+55),F10&gt;0)</formula>
    </cfRule>
  </conditionalFormatting>
  <conditionalFormatting sqref="V10">
    <cfRule type="expression" priority="173" dxfId="0">
      <formula>=AND(G10&lt;('تنظیمات'!$C$5+65),H10&gt;('تنظیمات'!$C$5+60),F10&gt;0)</formula>
    </cfRule>
  </conditionalFormatting>
  <conditionalFormatting sqref="W10">
    <cfRule type="expression" priority="174" dxfId="0">
      <formula>=AND(G10&lt;('تنظیمات'!$C$5+70),H10&gt;('تنظیمات'!$C$5+65),F10&gt;0)</formula>
    </cfRule>
  </conditionalFormatting>
  <conditionalFormatting sqref="X10">
    <cfRule type="expression" priority="175" dxfId="0">
      <formula>=AND(G10&lt;('تنظیمات'!$C$5+75),H10&gt;('تنظیمات'!$C$5+70),F10&gt;0)</formula>
    </cfRule>
  </conditionalFormatting>
  <conditionalFormatting sqref="Y10">
    <cfRule type="expression" priority="176" dxfId="0">
      <formula>=AND(G10&lt;('تنظیمات'!$C$5+80),H10&gt;('تنظیمات'!$C$5+75),F10&gt;0)</formula>
    </cfRule>
  </conditionalFormatting>
  <conditionalFormatting sqref="Z10">
    <cfRule type="expression" priority="177" dxfId="0">
      <formula>=AND(G10&lt;('تنظیمات'!$C$5+85),H10&gt;('تنظیمات'!$C$5+80),F10&gt;0)</formula>
    </cfRule>
  </conditionalFormatting>
  <conditionalFormatting sqref="AA10">
    <cfRule type="expression" priority="178" dxfId="0">
      <formula>=AND(G10&lt;('تنظیمات'!$C$5+90),H10&gt;('تنظیمات'!$C$5+85),F10&gt;0)</formula>
    </cfRule>
  </conditionalFormatting>
  <conditionalFormatting sqref="AB10">
    <cfRule type="expression" priority="179" dxfId="0">
      <formula>=AND(G10&lt;('تنظیمات'!$C$5+95),H10&gt;('تنظیمات'!$C$5+90),F10&gt;0)</formula>
    </cfRule>
  </conditionalFormatting>
  <conditionalFormatting sqref="AC10">
    <cfRule type="expression" priority="180" dxfId="0">
      <formula>=AND(G10&lt;('تنظیمات'!$C$5+100),H10&gt;('تنظیمات'!$C$5+95),F10&gt;0)</formula>
    </cfRule>
  </conditionalFormatting>
  <conditionalFormatting sqref="AD10">
    <cfRule type="expression" priority="181" dxfId="0">
      <formula>=AND(G10&lt;('تنظیمات'!$C$5+105),H10&gt;('تنظیمات'!$C$5+100),F10&gt;0)</formula>
    </cfRule>
  </conditionalFormatting>
  <conditionalFormatting sqref="AE10">
    <cfRule type="expression" priority="182" dxfId="0">
      <formula>=AND(G10&lt;('تنظیمات'!$C$5+110),H10&gt;('تنظیمات'!$C$5+105),F10&gt;0)</formula>
    </cfRule>
  </conditionalFormatting>
  <conditionalFormatting sqref="AF10">
    <cfRule type="expression" priority="183" dxfId="0">
      <formula>=AND(G10&lt;('تنظیمات'!$C$5+115),H10&gt;('تنظیمات'!$C$5+110),F10&gt;0)</formula>
    </cfRule>
  </conditionalFormatting>
  <conditionalFormatting sqref="AG10">
    <cfRule type="expression" priority="184" dxfId="0">
      <formula>=AND(G10&lt;('تنظیمات'!$C$5+120),H10&gt;('تنظیمات'!$C$5+115),F10&gt;0)</formula>
    </cfRule>
  </conditionalFormatting>
  <conditionalFormatting sqref="AH10">
    <cfRule type="expression" priority="185" dxfId="0">
      <formula>=AND(G10&lt;('تنظیمات'!$C$5+125),H10&gt;('تنظیمات'!$C$5+120),F10&gt;0)</formula>
    </cfRule>
  </conditionalFormatting>
  <conditionalFormatting sqref="AI10">
    <cfRule type="expression" priority="186" dxfId="0">
      <formula>=AND(G10&lt;('تنظیمات'!$C$5+130),H10&gt;('تنظیمات'!$C$5+125),F10&gt;0)</formula>
    </cfRule>
  </conditionalFormatting>
  <conditionalFormatting sqref="AJ10">
    <cfRule type="expression" priority="187" dxfId="0">
      <formula>=AND(G10&lt;('تنظیمات'!$C$5+135),H10&gt;('تنظیمات'!$C$5+130),F10&gt;0)</formula>
    </cfRule>
  </conditionalFormatting>
  <conditionalFormatting sqref="AK10">
    <cfRule type="expression" priority="188" dxfId="0">
      <formula>=AND(G10&lt;('تنظیمات'!$C$5+140),H10&gt;('تنظیمات'!$C$5+135),F10&gt;0)</formula>
    </cfRule>
  </conditionalFormatting>
  <conditionalFormatting sqref="AL10">
    <cfRule type="expression" priority="189" dxfId="0">
      <formula>=AND(G10&lt;('تنظیمات'!$C$5+145),H10&gt;('تنظیمات'!$C$5+140),F10&gt;0)</formula>
    </cfRule>
  </conditionalFormatting>
  <conditionalFormatting sqref="AM10">
    <cfRule type="expression" priority="190" dxfId="0">
      <formula>=AND(G10&lt;('تنظیمات'!$C$5+150),H10&gt;('تنظیمات'!$C$5+145),F10&gt;0)</formula>
    </cfRule>
  </conditionalFormatting>
  <conditionalFormatting sqref="AN10">
    <cfRule type="expression" priority="191" dxfId="0">
      <formula>=AND(G10&lt;('تنظیمات'!$C$5+155),H10&gt;('تنظیمات'!$C$5+150),F10&gt;0)</formula>
    </cfRule>
  </conditionalFormatting>
  <conditionalFormatting sqref="AO10">
    <cfRule type="expression" priority="192" dxfId="0">
      <formula>=AND(G10&lt;('تنظیمات'!$C$5+160),H10&gt;('تنظیمات'!$C$5+155),F10&gt;0)</formula>
    </cfRule>
  </conditionalFormatting>
  <conditionalFormatting sqref="AP10">
    <cfRule type="expression" priority="193" dxfId="0">
      <formula>=AND(G10&lt;('تنظیمات'!$C$5+165),H10&gt;('تنظیمات'!$C$5+160),F10&gt;0)</formula>
    </cfRule>
  </conditionalFormatting>
  <conditionalFormatting sqref="AQ10">
    <cfRule type="expression" priority="194" dxfId="0">
      <formula>=AND(G10&lt;('تنظیمات'!$C$5+170),H10&gt;('تنظیمات'!$C$5+165),F10&gt;0)</formula>
    </cfRule>
  </conditionalFormatting>
  <conditionalFormatting sqref="AR10">
    <cfRule type="expression" priority="195" dxfId="0">
      <formula>=AND(G10&lt;('تنظیمات'!$C$5+175),H10&gt;('تنظیمات'!$C$5+170),F10&gt;0)</formula>
    </cfRule>
  </conditionalFormatting>
  <conditionalFormatting sqref="AS10">
    <cfRule type="expression" priority="196" dxfId="0">
      <formula>=AND(G10&lt;('تنظیمات'!$C$5+180),H10&gt;('تنظیمات'!$C$5+175),F10&gt;0)</formula>
    </cfRule>
  </conditionalFormatting>
  <conditionalFormatting sqref="AT10">
    <cfRule type="expression" priority="197" dxfId="0">
      <formula>=AND(G10&lt;('تنظیمات'!$C$5+185),H10&gt;('تنظیمات'!$C$5+180),F10&gt;0)</formula>
    </cfRule>
  </conditionalFormatting>
  <conditionalFormatting sqref="AU10">
    <cfRule type="expression" priority="198" dxfId="0">
      <formula>=AND(G10&lt;('تنظیمات'!$C$5+190),H10&gt;('تنظیمات'!$C$5+185),F10&gt;0)</formula>
    </cfRule>
  </conditionalFormatting>
  <conditionalFormatting sqref="AV10">
    <cfRule type="expression" priority="199" dxfId="0">
      <formula>=AND(G10&lt;('تنظیمات'!$C$5+195),H10&gt;('تنظیمات'!$C$5+190),F10&gt;0)</formula>
    </cfRule>
  </conditionalFormatting>
  <conditionalFormatting sqref="AW10">
    <cfRule type="expression" priority="200" dxfId="0">
      <formula>=AND(G10&lt;('تنظیمات'!$C$5+200),H10&gt;('تنظیمات'!$C$5+195),F10&gt;0)</formula>
    </cfRule>
  </conditionalFormatting>
  <conditionalFormatting sqref="J11">
    <cfRule type="expression" priority="201" dxfId="0">
      <formula>=AND(G11&lt;('تنظیمات'!$C$5+5),H11&gt;('تنظیمات'!$C$5+0),F11&gt;0)</formula>
    </cfRule>
  </conditionalFormatting>
  <conditionalFormatting sqref="K11">
    <cfRule type="expression" priority="202" dxfId="0">
      <formula>=AND(G11&lt;('تنظیمات'!$C$5+10),H11&gt;('تنظیمات'!$C$5+5),F11&gt;0)</formula>
    </cfRule>
  </conditionalFormatting>
  <conditionalFormatting sqref="L11">
    <cfRule type="expression" priority="203" dxfId="0">
      <formula>=AND(G11&lt;('تنظیمات'!$C$5+15),H11&gt;('تنظیمات'!$C$5+10),F11&gt;0)</formula>
    </cfRule>
  </conditionalFormatting>
  <conditionalFormatting sqref="M11">
    <cfRule type="expression" priority="204" dxfId="0">
      <formula>=AND(G11&lt;('تنظیمات'!$C$5+20),H11&gt;('تنظیمات'!$C$5+15),F11&gt;0)</formula>
    </cfRule>
  </conditionalFormatting>
  <conditionalFormatting sqref="N11">
    <cfRule type="expression" priority="205" dxfId="0">
      <formula>=AND(G11&lt;('تنظیمات'!$C$5+25),H11&gt;('تنظیمات'!$C$5+20),F11&gt;0)</formula>
    </cfRule>
  </conditionalFormatting>
  <conditionalFormatting sqref="O11">
    <cfRule type="expression" priority="206" dxfId="0">
      <formula>=AND(G11&lt;('تنظیمات'!$C$5+30),H11&gt;('تنظیمات'!$C$5+25),F11&gt;0)</formula>
    </cfRule>
  </conditionalFormatting>
  <conditionalFormatting sqref="P11">
    <cfRule type="expression" priority="207" dxfId="0">
      <formula>=AND(G11&lt;('تنظیمات'!$C$5+35),H11&gt;('تنظیمات'!$C$5+30),F11&gt;0)</formula>
    </cfRule>
  </conditionalFormatting>
  <conditionalFormatting sqref="Q11">
    <cfRule type="expression" priority="208" dxfId="0">
      <formula>=AND(G11&lt;('تنظیمات'!$C$5+40),H11&gt;('تنظیمات'!$C$5+35),F11&gt;0)</formula>
    </cfRule>
  </conditionalFormatting>
  <conditionalFormatting sqref="R11">
    <cfRule type="expression" priority="209" dxfId="0">
      <formula>=AND(G11&lt;('تنظیمات'!$C$5+45),H11&gt;('تنظیمات'!$C$5+40),F11&gt;0)</formula>
    </cfRule>
  </conditionalFormatting>
  <conditionalFormatting sqref="S11">
    <cfRule type="expression" priority="210" dxfId="0">
      <formula>=AND(G11&lt;('تنظیمات'!$C$5+50),H11&gt;('تنظیمات'!$C$5+45),F11&gt;0)</formula>
    </cfRule>
  </conditionalFormatting>
  <conditionalFormatting sqref="T11">
    <cfRule type="expression" priority="211" dxfId="0">
      <formula>=AND(G11&lt;('تنظیمات'!$C$5+55),H11&gt;('تنظیمات'!$C$5+50),F11&gt;0)</formula>
    </cfRule>
  </conditionalFormatting>
  <conditionalFormatting sqref="U11">
    <cfRule type="expression" priority="212" dxfId="0">
      <formula>=AND(G11&lt;('تنظیمات'!$C$5+60),H11&gt;('تنظیمات'!$C$5+55),F11&gt;0)</formula>
    </cfRule>
  </conditionalFormatting>
  <conditionalFormatting sqref="V11">
    <cfRule type="expression" priority="213" dxfId="0">
      <formula>=AND(G11&lt;('تنظیمات'!$C$5+65),H11&gt;('تنظیمات'!$C$5+60),F11&gt;0)</formula>
    </cfRule>
  </conditionalFormatting>
  <conditionalFormatting sqref="W11">
    <cfRule type="expression" priority="214" dxfId="0">
      <formula>=AND(G11&lt;('تنظیمات'!$C$5+70),H11&gt;('تنظیمات'!$C$5+65),F11&gt;0)</formula>
    </cfRule>
  </conditionalFormatting>
  <conditionalFormatting sqref="X11">
    <cfRule type="expression" priority="215" dxfId="0">
      <formula>=AND(G11&lt;('تنظیمات'!$C$5+75),H11&gt;('تنظیمات'!$C$5+70),F11&gt;0)</formula>
    </cfRule>
  </conditionalFormatting>
  <conditionalFormatting sqref="Y11">
    <cfRule type="expression" priority="216" dxfId="0">
      <formula>=AND(G11&lt;('تنظیمات'!$C$5+80),H11&gt;('تنظیمات'!$C$5+75),F11&gt;0)</formula>
    </cfRule>
  </conditionalFormatting>
  <conditionalFormatting sqref="Z11">
    <cfRule type="expression" priority="217" dxfId="0">
      <formula>=AND(G11&lt;('تنظیمات'!$C$5+85),H11&gt;('تنظیمات'!$C$5+80),F11&gt;0)</formula>
    </cfRule>
  </conditionalFormatting>
  <conditionalFormatting sqref="AA11">
    <cfRule type="expression" priority="218" dxfId="0">
      <formula>=AND(G11&lt;('تنظیمات'!$C$5+90),H11&gt;('تنظیمات'!$C$5+85),F11&gt;0)</formula>
    </cfRule>
  </conditionalFormatting>
  <conditionalFormatting sqref="AB11">
    <cfRule type="expression" priority="219" dxfId="0">
      <formula>=AND(G11&lt;('تنظیمات'!$C$5+95),H11&gt;('تنظیمات'!$C$5+90),F11&gt;0)</formula>
    </cfRule>
  </conditionalFormatting>
  <conditionalFormatting sqref="AC11">
    <cfRule type="expression" priority="220" dxfId="0">
      <formula>=AND(G11&lt;('تنظیمات'!$C$5+100),H11&gt;('تنظیمات'!$C$5+95),F11&gt;0)</formula>
    </cfRule>
  </conditionalFormatting>
  <conditionalFormatting sqref="AD11">
    <cfRule type="expression" priority="221" dxfId="0">
      <formula>=AND(G11&lt;('تنظیمات'!$C$5+105),H11&gt;('تنظیمات'!$C$5+100),F11&gt;0)</formula>
    </cfRule>
  </conditionalFormatting>
  <conditionalFormatting sqref="AE11">
    <cfRule type="expression" priority="222" dxfId="0">
      <formula>=AND(G11&lt;('تنظیمات'!$C$5+110),H11&gt;('تنظیمات'!$C$5+105),F11&gt;0)</formula>
    </cfRule>
  </conditionalFormatting>
  <conditionalFormatting sqref="AF11">
    <cfRule type="expression" priority="223" dxfId="0">
      <formula>=AND(G11&lt;('تنظیمات'!$C$5+115),H11&gt;('تنظیمات'!$C$5+110),F11&gt;0)</formula>
    </cfRule>
  </conditionalFormatting>
  <conditionalFormatting sqref="AG11">
    <cfRule type="expression" priority="224" dxfId="0">
      <formula>=AND(G11&lt;('تنظیمات'!$C$5+120),H11&gt;('تنظیمات'!$C$5+115),F11&gt;0)</formula>
    </cfRule>
  </conditionalFormatting>
  <conditionalFormatting sqref="AH11">
    <cfRule type="expression" priority="225" dxfId="0">
      <formula>=AND(G11&lt;('تنظیمات'!$C$5+125),H11&gt;('تنظیمات'!$C$5+120),F11&gt;0)</formula>
    </cfRule>
  </conditionalFormatting>
  <conditionalFormatting sqref="AI11">
    <cfRule type="expression" priority="226" dxfId="0">
      <formula>=AND(G11&lt;('تنظیمات'!$C$5+130),H11&gt;('تنظیمات'!$C$5+125),F11&gt;0)</formula>
    </cfRule>
  </conditionalFormatting>
  <conditionalFormatting sqref="AJ11">
    <cfRule type="expression" priority="227" dxfId="0">
      <formula>=AND(G11&lt;('تنظیمات'!$C$5+135),H11&gt;('تنظیمات'!$C$5+130),F11&gt;0)</formula>
    </cfRule>
  </conditionalFormatting>
  <conditionalFormatting sqref="AK11">
    <cfRule type="expression" priority="228" dxfId="0">
      <formula>=AND(G11&lt;('تنظیمات'!$C$5+140),H11&gt;('تنظیمات'!$C$5+135),F11&gt;0)</formula>
    </cfRule>
  </conditionalFormatting>
  <conditionalFormatting sqref="AL11">
    <cfRule type="expression" priority="229" dxfId="0">
      <formula>=AND(G11&lt;('تنظیمات'!$C$5+145),H11&gt;('تنظیمات'!$C$5+140),F11&gt;0)</formula>
    </cfRule>
  </conditionalFormatting>
  <conditionalFormatting sqref="AM11">
    <cfRule type="expression" priority="230" dxfId="0">
      <formula>=AND(G11&lt;('تنظیمات'!$C$5+150),H11&gt;('تنظیمات'!$C$5+145),F11&gt;0)</formula>
    </cfRule>
  </conditionalFormatting>
  <conditionalFormatting sqref="AN11">
    <cfRule type="expression" priority="231" dxfId="0">
      <formula>=AND(G11&lt;('تنظیمات'!$C$5+155),H11&gt;('تنظیمات'!$C$5+150),F11&gt;0)</formula>
    </cfRule>
  </conditionalFormatting>
  <conditionalFormatting sqref="AO11">
    <cfRule type="expression" priority="232" dxfId="0">
      <formula>=AND(G11&lt;('تنظیمات'!$C$5+160),H11&gt;('تنظیمات'!$C$5+155),F11&gt;0)</formula>
    </cfRule>
  </conditionalFormatting>
  <conditionalFormatting sqref="AP11">
    <cfRule type="expression" priority="233" dxfId="0">
      <formula>=AND(G11&lt;('تنظیمات'!$C$5+165),H11&gt;('تنظیمات'!$C$5+160),F11&gt;0)</formula>
    </cfRule>
  </conditionalFormatting>
  <conditionalFormatting sqref="AQ11">
    <cfRule type="expression" priority="234" dxfId="0">
      <formula>=AND(G11&lt;('تنظیمات'!$C$5+170),H11&gt;('تنظیمات'!$C$5+165),F11&gt;0)</formula>
    </cfRule>
  </conditionalFormatting>
  <conditionalFormatting sqref="AR11">
    <cfRule type="expression" priority="235" dxfId="0">
      <formula>=AND(G11&lt;('تنظیمات'!$C$5+175),H11&gt;('تنظیمات'!$C$5+170),F11&gt;0)</formula>
    </cfRule>
  </conditionalFormatting>
  <conditionalFormatting sqref="AS11">
    <cfRule type="expression" priority="236" dxfId="0">
      <formula>=AND(G11&lt;('تنظیمات'!$C$5+180),H11&gt;('تنظیمات'!$C$5+175),F11&gt;0)</formula>
    </cfRule>
  </conditionalFormatting>
  <conditionalFormatting sqref="AT11">
    <cfRule type="expression" priority="237" dxfId="0">
      <formula>=AND(G11&lt;('تنظیمات'!$C$5+185),H11&gt;('تنظیمات'!$C$5+180),F11&gt;0)</formula>
    </cfRule>
  </conditionalFormatting>
  <conditionalFormatting sqref="AU11">
    <cfRule type="expression" priority="238" dxfId="0">
      <formula>=AND(G11&lt;('تنظیمات'!$C$5+190),H11&gt;('تنظیمات'!$C$5+185),F11&gt;0)</formula>
    </cfRule>
  </conditionalFormatting>
  <conditionalFormatting sqref="AV11">
    <cfRule type="expression" priority="239" dxfId="0">
      <formula>=AND(G11&lt;('تنظیمات'!$C$5+195),H11&gt;('تنظیمات'!$C$5+190),F11&gt;0)</formula>
    </cfRule>
  </conditionalFormatting>
  <conditionalFormatting sqref="AW11">
    <cfRule type="expression" priority="240" dxfId="0">
      <formula>=AND(G11&lt;('تنظیمات'!$C$5+200),H11&gt;('تنظیمات'!$C$5+195),F11&gt;0)</formula>
    </cfRule>
  </conditionalFormatting>
  <conditionalFormatting sqref="J12">
    <cfRule type="expression" priority="241" dxfId="0">
      <formula>=AND(G12&lt;('تنظیمات'!$C$5+5),H12&gt;('تنظیمات'!$C$5+0),F12&gt;0)</formula>
    </cfRule>
  </conditionalFormatting>
  <conditionalFormatting sqref="K12">
    <cfRule type="expression" priority="242" dxfId="0">
      <formula>=AND(G12&lt;('تنظیمات'!$C$5+10),H12&gt;('تنظیمات'!$C$5+5),F12&gt;0)</formula>
    </cfRule>
  </conditionalFormatting>
  <conditionalFormatting sqref="L12">
    <cfRule type="expression" priority="243" dxfId="0">
      <formula>=AND(G12&lt;('تنظیمات'!$C$5+15),H12&gt;('تنظیمات'!$C$5+10),F12&gt;0)</formula>
    </cfRule>
  </conditionalFormatting>
  <conditionalFormatting sqref="M12">
    <cfRule type="expression" priority="244" dxfId="0">
      <formula>=AND(G12&lt;('تنظیمات'!$C$5+20),H12&gt;('تنظیمات'!$C$5+15),F12&gt;0)</formula>
    </cfRule>
  </conditionalFormatting>
  <conditionalFormatting sqref="N12">
    <cfRule type="expression" priority="245" dxfId="0">
      <formula>=AND(G12&lt;('تنظیمات'!$C$5+25),H12&gt;('تنظیمات'!$C$5+20),F12&gt;0)</formula>
    </cfRule>
  </conditionalFormatting>
  <conditionalFormatting sqref="O12">
    <cfRule type="expression" priority="246" dxfId="0">
      <formula>=AND(G12&lt;('تنظیمات'!$C$5+30),H12&gt;('تنظیمات'!$C$5+25),F12&gt;0)</formula>
    </cfRule>
  </conditionalFormatting>
  <conditionalFormatting sqref="P12">
    <cfRule type="expression" priority="247" dxfId="0">
      <formula>=AND(G12&lt;('تنظیمات'!$C$5+35),H12&gt;('تنظیمات'!$C$5+30),F12&gt;0)</formula>
    </cfRule>
  </conditionalFormatting>
  <conditionalFormatting sqref="Q12">
    <cfRule type="expression" priority="248" dxfId="0">
      <formula>=AND(G12&lt;('تنظیمات'!$C$5+40),H12&gt;('تنظیمات'!$C$5+35),F12&gt;0)</formula>
    </cfRule>
  </conditionalFormatting>
  <conditionalFormatting sqref="R12">
    <cfRule type="expression" priority="249" dxfId="0">
      <formula>=AND(G12&lt;('تنظیمات'!$C$5+45),H12&gt;('تنظیمات'!$C$5+40),F12&gt;0)</formula>
    </cfRule>
  </conditionalFormatting>
  <conditionalFormatting sqref="S12">
    <cfRule type="expression" priority="250" dxfId="0">
      <formula>=AND(G12&lt;('تنظیمات'!$C$5+50),H12&gt;('تنظیمات'!$C$5+45),F12&gt;0)</formula>
    </cfRule>
  </conditionalFormatting>
  <conditionalFormatting sqref="T12">
    <cfRule type="expression" priority="251" dxfId="0">
      <formula>=AND(G12&lt;('تنظیمات'!$C$5+55),H12&gt;('تنظیمات'!$C$5+50),F12&gt;0)</formula>
    </cfRule>
  </conditionalFormatting>
  <conditionalFormatting sqref="U12">
    <cfRule type="expression" priority="252" dxfId="0">
      <formula>=AND(G12&lt;('تنظیمات'!$C$5+60),H12&gt;('تنظیمات'!$C$5+55),F12&gt;0)</formula>
    </cfRule>
  </conditionalFormatting>
  <conditionalFormatting sqref="V12">
    <cfRule type="expression" priority="253" dxfId="0">
      <formula>=AND(G12&lt;('تنظیمات'!$C$5+65),H12&gt;('تنظیمات'!$C$5+60),F12&gt;0)</formula>
    </cfRule>
  </conditionalFormatting>
  <conditionalFormatting sqref="W12">
    <cfRule type="expression" priority="254" dxfId="0">
      <formula>=AND(G12&lt;('تنظیمات'!$C$5+70),H12&gt;('تنظیمات'!$C$5+65),F12&gt;0)</formula>
    </cfRule>
  </conditionalFormatting>
  <conditionalFormatting sqref="X12">
    <cfRule type="expression" priority="255" dxfId="0">
      <formula>=AND(G12&lt;('تنظیمات'!$C$5+75),H12&gt;('تنظیمات'!$C$5+70),F12&gt;0)</formula>
    </cfRule>
  </conditionalFormatting>
  <conditionalFormatting sqref="Y12">
    <cfRule type="expression" priority="256" dxfId="0">
      <formula>=AND(G12&lt;('تنظیمات'!$C$5+80),H12&gt;('تنظیمات'!$C$5+75),F12&gt;0)</formula>
    </cfRule>
  </conditionalFormatting>
  <conditionalFormatting sqref="Z12">
    <cfRule type="expression" priority="257" dxfId="0">
      <formula>=AND(G12&lt;('تنظیمات'!$C$5+85),H12&gt;('تنظیمات'!$C$5+80),F12&gt;0)</formula>
    </cfRule>
  </conditionalFormatting>
  <conditionalFormatting sqref="AA12">
    <cfRule type="expression" priority="258" dxfId="0">
      <formula>=AND(G12&lt;('تنظیمات'!$C$5+90),H12&gt;('تنظیمات'!$C$5+85),F12&gt;0)</formula>
    </cfRule>
  </conditionalFormatting>
  <conditionalFormatting sqref="AB12">
    <cfRule type="expression" priority="259" dxfId="0">
      <formula>=AND(G12&lt;('تنظیمات'!$C$5+95),H12&gt;('تنظیمات'!$C$5+90),F12&gt;0)</formula>
    </cfRule>
  </conditionalFormatting>
  <conditionalFormatting sqref="AC12">
    <cfRule type="expression" priority="260" dxfId="0">
      <formula>=AND(G12&lt;('تنظیمات'!$C$5+100),H12&gt;('تنظیمات'!$C$5+95),F12&gt;0)</formula>
    </cfRule>
  </conditionalFormatting>
  <conditionalFormatting sqref="AD12">
    <cfRule type="expression" priority="261" dxfId="0">
      <formula>=AND(G12&lt;('تنظیمات'!$C$5+105),H12&gt;('تنظیمات'!$C$5+100),F12&gt;0)</formula>
    </cfRule>
  </conditionalFormatting>
  <conditionalFormatting sqref="AE12">
    <cfRule type="expression" priority="262" dxfId="0">
      <formula>=AND(G12&lt;('تنظیمات'!$C$5+110),H12&gt;('تنظیمات'!$C$5+105),F12&gt;0)</formula>
    </cfRule>
  </conditionalFormatting>
  <conditionalFormatting sqref="AF12">
    <cfRule type="expression" priority="263" dxfId="0">
      <formula>=AND(G12&lt;('تنظیمات'!$C$5+115),H12&gt;('تنظیمات'!$C$5+110),F12&gt;0)</formula>
    </cfRule>
  </conditionalFormatting>
  <conditionalFormatting sqref="AG12">
    <cfRule type="expression" priority="264" dxfId="0">
      <formula>=AND(G12&lt;('تنظیمات'!$C$5+120),H12&gt;('تنظیمات'!$C$5+115),F12&gt;0)</formula>
    </cfRule>
  </conditionalFormatting>
  <conditionalFormatting sqref="AH12">
    <cfRule type="expression" priority="265" dxfId="0">
      <formula>=AND(G12&lt;('تنظیمات'!$C$5+125),H12&gt;('تنظیمات'!$C$5+120),F12&gt;0)</formula>
    </cfRule>
  </conditionalFormatting>
  <conditionalFormatting sqref="AI12">
    <cfRule type="expression" priority="266" dxfId="0">
      <formula>=AND(G12&lt;('تنظیمات'!$C$5+130),H12&gt;('تنظیمات'!$C$5+125),F12&gt;0)</formula>
    </cfRule>
  </conditionalFormatting>
  <conditionalFormatting sqref="AJ12">
    <cfRule type="expression" priority="267" dxfId="0">
      <formula>=AND(G12&lt;('تنظیمات'!$C$5+135),H12&gt;('تنظیمات'!$C$5+130),F12&gt;0)</formula>
    </cfRule>
  </conditionalFormatting>
  <conditionalFormatting sqref="AK12">
    <cfRule type="expression" priority="268" dxfId="0">
      <formula>=AND(G12&lt;('تنظیمات'!$C$5+140),H12&gt;('تنظیمات'!$C$5+135),F12&gt;0)</formula>
    </cfRule>
  </conditionalFormatting>
  <conditionalFormatting sqref="AL12">
    <cfRule type="expression" priority="269" dxfId="0">
      <formula>=AND(G12&lt;('تنظیمات'!$C$5+145),H12&gt;('تنظیمات'!$C$5+140),F12&gt;0)</formula>
    </cfRule>
  </conditionalFormatting>
  <conditionalFormatting sqref="AM12">
    <cfRule type="expression" priority="270" dxfId="0">
      <formula>=AND(G12&lt;('تنظیمات'!$C$5+150),H12&gt;('تنظیمات'!$C$5+145),F12&gt;0)</formula>
    </cfRule>
  </conditionalFormatting>
  <conditionalFormatting sqref="AN12">
    <cfRule type="expression" priority="271" dxfId="0">
      <formula>=AND(G12&lt;('تنظیمات'!$C$5+155),H12&gt;('تنظیمات'!$C$5+150),F12&gt;0)</formula>
    </cfRule>
  </conditionalFormatting>
  <conditionalFormatting sqref="AO12">
    <cfRule type="expression" priority="272" dxfId="0">
      <formula>=AND(G12&lt;('تنظیمات'!$C$5+160),H12&gt;('تنظیمات'!$C$5+155),F12&gt;0)</formula>
    </cfRule>
  </conditionalFormatting>
  <conditionalFormatting sqref="AP12">
    <cfRule type="expression" priority="273" dxfId="0">
      <formula>=AND(G12&lt;('تنظیمات'!$C$5+165),H12&gt;('تنظیمات'!$C$5+160),F12&gt;0)</formula>
    </cfRule>
  </conditionalFormatting>
  <conditionalFormatting sqref="AQ12">
    <cfRule type="expression" priority="274" dxfId="0">
      <formula>=AND(G12&lt;('تنظیمات'!$C$5+170),H12&gt;('تنظیمات'!$C$5+165),F12&gt;0)</formula>
    </cfRule>
  </conditionalFormatting>
  <conditionalFormatting sqref="AR12">
    <cfRule type="expression" priority="275" dxfId="0">
      <formula>=AND(G12&lt;('تنظیمات'!$C$5+175),H12&gt;('تنظیمات'!$C$5+170),F12&gt;0)</formula>
    </cfRule>
  </conditionalFormatting>
  <conditionalFormatting sqref="AS12">
    <cfRule type="expression" priority="276" dxfId="0">
      <formula>=AND(G12&lt;('تنظیمات'!$C$5+180),H12&gt;('تنظیمات'!$C$5+175),F12&gt;0)</formula>
    </cfRule>
  </conditionalFormatting>
  <conditionalFormatting sqref="AT12">
    <cfRule type="expression" priority="277" dxfId="0">
      <formula>=AND(G12&lt;('تنظیمات'!$C$5+185),H12&gt;('تنظیمات'!$C$5+180),F12&gt;0)</formula>
    </cfRule>
  </conditionalFormatting>
  <conditionalFormatting sqref="AU12">
    <cfRule type="expression" priority="278" dxfId="0">
      <formula>=AND(G12&lt;('تنظیمات'!$C$5+190),H12&gt;('تنظیمات'!$C$5+185),F12&gt;0)</formula>
    </cfRule>
  </conditionalFormatting>
  <conditionalFormatting sqref="AV12">
    <cfRule type="expression" priority="279" dxfId="0">
      <formula>=AND(G12&lt;('تنظیمات'!$C$5+195),H12&gt;('تنظیمات'!$C$5+190),F12&gt;0)</formula>
    </cfRule>
  </conditionalFormatting>
  <conditionalFormatting sqref="AW12">
    <cfRule type="expression" priority="280" dxfId="0">
      <formula>=AND(G12&lt;('تنظیمات'!$C$5+200),H12&gt;('تنظیمات'!$C$5+195),F12&gt;0)</formula>
    </cfRule>
  </conditionalFormatting>
  <conditionalFormatting sqref="J13">
    <cfRule type="expression" priority="281" dxfId="0">
      <formula>=AND(G13&lt;('تنظیمات'!$C$5+5),H13&gt;('تنظیمات'!$C$5+0),F13&gt;0)</formula>
    </cfRule>
  </conditionalFormatting>
  <conditionalFormatting sqref="K13">
    <cfRule type="expression" priority="282" dxfId="0">
      <formula>=AND(G13&lt;('تنظیمات'!$C$5+10),H13&gt;('تنظیمات'!$C$5+5),F13&gt;0)</formula>
    </cfRule>
  </conditionalFormatting>
  <conditionalFormatting sqref="L13">
    <cfRule type="expression" priority="283" dxfId="0">
      <formula>=AND(G13&lt;('تنظیمات'!$C$5+15),H13&gt;('تنظیمات'!$C$5+10),F13&gt;0)</formula>
    </cfRule>
  </conditionalFormatting>
  <conditionalFormatting sqref="M13">
    <cfRule type="expression" priority="284" dxfId="0">
      <formula>=AND(G13&lt;('تنظیمات'!$C$5+20),H13&gt;('تنظیمات'!$C$5+15),F13&gt;0)</formula>
    </cfRule>
  </conditionalFormatting>
  <conditionalFormatting sqref="N13">
    <cfRule type="expression" priority="285" dxfId="0">
      <formula>=AND(G13&lt;('تنظیمات'!$C$5+25),H13&gt;('تنظیمات'!$C$5+20),F13&gt;0)</formula>
    </cfRule>
  </conditionalFormatting>
  <conditionalFormatting sqref="O13">
    <cfRule type="expression" priority="286" dxfId="0">
      <formula>=AND(G13&lt;('تنظیمات'!$C$5+30),H13&gt;('تنظیمات'!$C$5+25),F13&gt;0)</formula>
    </cfRule>
  </conditionalFormatting>
  <conditionalFormatting sqref="P13">
    <cfRule type="expression" priority="287" dxfId="0">
      <formula>=AND(G13&lt;('تنظیمات'!$C$5+35),H13&gt;('تنظیمات'!$C$5+30),F13&gt;0)</formula>
    </cfRule>
  </conditionalFormatting>
  <conditionalFormatting sqref="Q13">
    <cfRule type="expression" priority="288" dxfId="0">
      <formula>=AND(G13&lt;('تنظیمات'!$C$5+40),H13&gt;('تنظیمات'!$C$5+35),F13&gt;0)</formula>
    </cfRule>
  </conditionalFormatting>
  <conditionalFormatting sqref="R13">
    <cfRule type="expression" priority="289" dxfId="0">
      <formula>=AND(G13&lt;('تنظیمات'!$C$5+45),H13&gt;('تنظیمات'!$C$5+40),F13&gt;0)</formula>
    </cfRule>
  </conditionalFormatting>
  <conditionalFormatting sqref="S13">
    <cfRule type="expression" priority="290" dxfId="0">
      <formula>=AND(G13&lt;('تنظیمات'!$C$5+50),H13&gt;('تنظیمات'!$C$5+45),F13&gt;0)</formula>
    </cfRule>
  </conditionalFormatting>
  <conditionalFormatting sqref="T13">
    <cfRule type="expression" priority="291" dxfId="0">
      <formula>=AND(G13&lt;('تنظیمات'!$C$5+55),H13&gt;('تنظیمات'!$C$5+50),F13&gt;0)</formula>
    </cfRule>
  </conditionalFormatting>
  <conditionalFormatting sqref="U13">
    <cfRule type="expression" priority="292" dxfId="0">
      <formula>=AND(G13&lt;('تنظیمات'!$C$5+60),H13&gt;('تنظیمات'!$C$5+55),F13&gt;0)</formula>
    </cfRule>
  </conditionalFormatting>
  <conditionalFormatting sqref="V13">
    <cfRule type="expression" priority="293" dxfId="0">
      <formula>=AND(G13&lt;('تنظیمات'!$C$5+65),H13&gt;('تنظیمات'!$C$5+60),F13&gt;0)</formula>
    </cfRule>
  </conditionalFormatting>
  <conditionalFormatting sqref="W13">
    <cfRule type="expression" priority="294" dxfId="0">
      <formula>=AND(G13&lt;('تنظیمات'!$C$5+70),H13&gt;('تنظیمات'!$C$5+65),F13&gt;0)</formula>
    </cfRule>
  </conditionalFormatting>
  <conditionalFormatting sqref="X13">
    <cfRule type="expression" priority="295" dxfId="0">
      <formula>=AND(G13&lt;('تنظیمات'!$C$5+75),H13&gt;('تنظیمات'!$C$5+70),F13&gt;0)</formula>
    </cfRule>
  </conditionalFormatting>
  <conditionalFormatting sqref="Y13">
    <cfRule type="expression" priority="296" dxfId="0">
      <formula>=AND(G13&lt;('تنظیمات'!$C$5+80),H13&gt;('تنظیمات'!$C$5+75),F13&gt;0)</formula>
    </cfRule>
  </conditionalFormatting>
  <conditionalFormatting sqref="Z13">
    <cfRule type="expression" priority="297" dxfId="0">
      <formula>=AND(G13&lt;('تنظیمات'!$C$5+85),H13&gt;('تنظیمات'!$C$5+80),F13&gt;0)</formula>
    </cfRule>
  </conditionalFormatting>
  <conditionalFormatting sqref="AA13">
    <cfRule type="expression" priority="298" dxfId="0">
      <formula>=AND(G13&lt;('تنظیمات'!$C$5+90),H13&gt;('تنظیمات'!$C$5+85),F13&gt;0)</formula>
    </cfRule>
  </conditionalFormatting>
  <conditionalFormatting sqref="AB13">
    <cfRule type="expression" priority="299" dxfId="0">
      <formula>=AND(G13&lt;('تنظیمات'!$C$5+95),H13&gt;('تنظیمات'!$C$5+90),F13&gt;0)</formula>
    </cfRule>
  </conditionalFormatting>
  <conditionalFormatting sqref="AC13">
    <cfRule type="expression" priority="300" dxfId="0">
      <formula>=AND(G13&lt;('تنظیمات'!$C$5+100),H13&gt;('تنظیمات'!$C$5+95),F13&gt;0)</formula>
    </cfRule>
  </conditionalFormatting>
  <conditionalFormatting sqref="AD13">
    <cfRule type="expression" priority="301" dxfId="0">
      <formula>=AND(G13&lt;('تنظیمات'!$C$5+105),H13&gt;('تنظیمات'!$C$5+100),F13&gt;0)</formula>
    </cfRule>
  </conditionalFormatting>
  <conditionalFormatting sqref="AE13">
    <cfRule type="expression" priority="302" dxfId="0">
      <formula>=AND(G13&lt;('تنظیمات'!$C$5+110),H13&gt;('تنظیمات'!$C$5+105),F13&gt;0)</formula>
    </cfRule>
  </conditionalFormatting>
  <conditionalFormatting sqref="AF13">
    <cfRule type="expression" priority="303" dxfId="0">
      <formula>=AND(G13&lt;('تنظیمات'!$C$5+115),H13&gt;('تنظیمات'!$C$5+110),F13&gt;0)</formula>
    </cfRule>
  </conditionalFormatting>
  <conditionalFormatting sqref="AG13">
    <cfRule type="expression" priority="304" dxfId="0">
      <formula>=AND(G13&lt;('تنظیمات'!$C$5+120),H13&gt;('تنظیمات'!$C$5+115),F13&gt;0)</formula>
    </cfRule>
  </conditionalFormatting>
  <conditionalFormatting sqref="AH13">
    <cfRule type="expression" priority="305" dxfId="0">
      <formula>=AND(G13&lt;('تنظیمات'!$C$5+125),H13&gt;('تنظیمات'!$C$5+120),F13&gt;0)</formula>
    </cfRule>
  </conditionalFormatting>
  <conditionalFormatting sqref="AI13">
    <cfRule type="expression" priority="306" dxfId="0">
      <formula>=AND(G13&lt;('تنظیمات'!$C$5+130),H13&gt;('تنظیمات'!$C$5+125),F13&gt;0)</formula>
    </cfRule>
  </conditionalFormatting>
  <conditionalFormatting sqref="AJ13">
    <cfRule type="expression" priority="307" dxfId="0">
      <formula>=AND(G13&lt;('تنظیمات'!$C$5+135),H13&gt;('تنظیمات'!$C$5+130),F13&gt;0)</formula>
    </cfRule>
  </conditionalFormatting>
  <conditionalFormatting sqref="AK13">
    <cfRule type="expression" priority="308" dxfId="0">
      <formula>=AND(G13&lt;('تنظیمات'!$C$5+140),H13&gt;('تنظیمات'!$C$5+135),F13&gt;0)</formula>
    </cfRule>
  </conditionalFormatting>
  <conditionalFormatting sqref="AL13">
    <cfRule type="expression" priority="309" dxfId="0">
      <formula>=AND(G13&lt;('تنظیمات'!$C$5+145),H13&gt;('تنظیمات'!$C$5+140),F13&gt;0)</formula>
    </cfRule>
  </conditionalFormatting>
  <conditionalFormatting sqref="AM13">
    <cfRule type="expression" priority="310" dxfId="0">
      <formula>=AND(G13&lt;('تنظیمات'!$C$5+150),H13&gt;('تنظیمات'!$C$5+145),F13&gt;0)</formula>
    </cfRule>
  </conditionalFormatting>
  <conditionalFormatting sqref="AN13">
    <cfRule type="expression" priority="311" dxfId="0">
      <formula>=AND(G13&lt;('تنظیمات'!$C$5+155),H13&gt;('تنظیمات'!$C$5+150),F13&gt;0)</formula>
    </cfRule>
  </conditionalFormatting>
  <conditionalFormatting sqref="AO13">
    <cfRule type="expression" priority="312" dxfId="0">
      <formula>=AND(G13&lt;('تنظیمات'!$C$5+160),H13&gt;('تنظیمات'!$C$5+155),F13&gt;0)</formula>
    </cfRule>
  </conditionalFormatting>
  <conditionalFormatting sqref="AP13">
    <cfRule type="expression" priority="313" dxfId="0">
      <formula>=AND(G13&lt;('تنظیمات'!$C$5+165),H13&gt;('تنظیمات'!$C$5+160),F13&gt;0)</formula>
    </cfRule>
  </conditionalFormatting>
  <conditionalFormatting sqref="AQ13">
    <cfRule type="expression" priority="314" dxfId="0">
      <formula>=AND(G13&lt;('تنظیمات'!$C$5+170),H13&gt;('تنظیمات'!$C$5+165),F13&gt;0)</formula>
    </cfRule>
  </conditionalFormatting>
  <conditionalFormatting sqref="AR13">
    <cfRule type="expression" priority="315" dxfId="0">
      <formula>=AND(G13&lt;('تنظیمات'!$C$5+175),H13&gt;('تنظیمات'!$C$5+170),F13&gt;0)</formula>
    </cfRule>
  </conditionalFormatting>
  <conditionalFormatting sqref="AS13">
    <cfRule type="expression" priority="316" dxfId="0">
      <formula>=AND(G13&lt;('تنظیمات'!$C$5+180),H13&gt;('تنظیمات'!$C$5+175),F13&gt;0)</formula>
    </cfRule>
  </conditionalFormatting>
  <conditionalFormatting sqref="AT13">
    <cfRule type="expression" priority="317" dxfId="0">
      <formula>=AND(G13&lt;('تنظیمات'!$C$5+185),H13&gt;('تنظیمات'!$C$5+180),F13&gt;0)</formula>
    </cfRule>
  </conditionalFormatting>
  <conditionalFormatting sqref="AU13">
    <cfRule type="expression" priority="318" dxfId="0">
      <formula>=AND(G13&lt;('تنظیمات'!$C$5+190),H13&gt;('تنظیمات'!$C$5+185),F13&gt;0)</formula>
    </cfRule>
  </conditionalFormatting>
  <conditionalFormatting sqref="AV13">
    <cfRule type="expression" priority="319" dxfId="0">
      <formula>=AND(G13&lt;('تنظیمات'!$C$5+195),H13&gt;('تنظیمات'!$C$5+190),F13&gt;0)</formula>
    </cfRule>
  </conditionalFormatting>
  <conditionalFormatting sqref="AW13">
    <cfRule type="expression" priority="320" dxfId="0">
      <formula>=AND(G13&lt;('تنظیمات'!$C$5+200),H13&gt;('تنظیمات'!$C$5+195),F13&gt;0)</formula>
    </cfRule>
  </conditionalFormatting>
  <conditionalFormatting sqref="J14">
    <cfRule type="expression" priority="321" dxfId="0">
      <formula>=AND(G14&lt;('تنظیمات'!$C$5+5),H14&gt;('تنظیمات'!$C$5+0),F14&gt;0)</formula>
    </cfRule>
  </conditionalFormatting>
  <conditionalFormatting sqref="K14">
    <cfRule type="expression" priority="322" dxfId="0">
      <formula>=AND(G14&lt;('تنظیمات'!$C$5+10),H14&gt;('تنظیمات'!$C$5+5),F14&gt;0)</formula>
    </cfRule>
  </conditionalFormatting>
  <conditionalFormatting sqref="L14">
    <cfRule type="expression" priority="323" dxfId="0">
      <formula>=AND(G14&lt;('تنظیمات'!$C$5+15),H14&gt;('تنظیمات'!$C$5+10),F14&gt;0)</formula>
    </cfRule>
  </conditionalFormatting>
  <conditionalFormatting sqref="M14">
    <cfRule type="expression" priority="324" dxfId="0">
      <formula>=AND(G14&lt;('تنظیمات'!$C$5+20),H14&gt;('تنظیمات'!$C$5+15),F14&gt;0)</formula>
    </cfRule>
  </conditionalFormatting>
  <conditionalFormatting sqref="N14">
    <cfRule type="expression" priority="325" dxfId="0">
      <formula>=AND(G14&lt;('تنظیمات'!$C$5+25),H14&gt;('تنظیمات'!$C$5+20),F14&gt;0)</formula>
    </cfRule>
  </conditionalFormatting>
  <conditionalFormatting sqref="O14">
    <cfRule type="expression" priority="326" dxfId="0">
      <formula>=AND(G14&lt;('تنظیمات'!$C$5+30),H14&gt;('تنظیمات'!$C$5+25),F14&gt;0)</formula>
    </cfRule>
  </conditionalFormatting>
  <conditionalFormatting sqref="P14">
    <cfRule type="expression" priority="327" dxfId="0">
      <formula>=AND(G14&lt;('تنظیمات'!$C$5+35),H14&gt;('تنظیمات'!$C$5+30),F14&gt;0)</formula>
    </cfRule>
  </conditionalFormatting>
  <conditionalFormatting sqref="Q14">
    <cfRule type="expression" priority="328" dxfId="0">
      <formula>=AND(G14&lt;('تنظیمات'!$C$5+40),H14&gt;('تنظیمات'!$C$5+35),F14&gt;0)</formula>
    </cfRule>
  </conditionalFormatting>
  <conditionalFormatting sqref="R14">
    <cfRule type="expression" priority="329" dxfId="0">
      <formula>=AND(G14&lt;('تنظیمات'!$C$5+45),H14&gt;('تنظیمات'!$C$5+40),F14&gt;0)</formula>
    </cfRule>
  </conditionalFormatting>
  <conditionalFormatting sqref="S14">
    <cfRule type="expression" priority="330" dxfId="0">
      <formula>=AND(G14&lt;('تنظیمات'!$C$5+50),H14&gt;('تنظیمات'!$C$5+45),F14&gt;0)</formula>
    </cfRule>
  </conditionalFormatting>
  <conditionalFormatting sqref="T14">
    <cfRule type="expression" priority="331" dxfId="0">
      <formula>=AND(G14&lt;('تنظیمات'!$C$5+55),H14&gt;('تنظیمات'!$C$5+50),F14&gt;0)</formula>
    </cfRule>
  </conditionalFormatting>
  <conditionalFormatting sqref="U14">
    <cfRule type="expression" priority="332" dxfId="0">
      <formula>=AND(G14&lt;('تنظیمات'!$C$5+60),H14&gt;('تنظیمات'!$C$5+55),F14&gt;0)</formula>
    </cfRule>
  </conditionalFormatting>
  <conditionalFormatting sqref="V14">
    <cfRule type="expression" priority="333" dxfId="0">
      <formula>=AND(G14&lt;('تنظیمات'!$C$5+65),H14&gt;('تنظیمات'!$C$5+60),F14&gt;0)</formula>
    </cfRule>
  </conditionalFormatting>
  <conditionalFormatting sqref="W14">
    <cfRule type="expression" priority="334" dxfId="0">
      <formula>=AND(G14&lt;('تنظیمات'!$C$5+70),H14&gt;('تنظیمات'!$C$5+65),F14&gt;0)</formula>
    </cfRule>
  </conditionalFormatting>
  <conditionalFormatting sqref="X14">
    <cfRule type="expression" priority="335" dxfId="0">
      <formula>=AND(G14&lt;('تنظیمات'!$C$5+75),H14&gt;('تنظیمات'!$C$5+70),F14&gt;0)</formula>
    </cfRule>
  </conditionalFormatting>
  <conditionalFormatting sqref="Y14">
    <cfRule type="expression" priority="336" dxfId="0">
      <formula>=AND(G14&lt;('تنظیمات'!$C$5+80),H14&gt;('تنظیمات'!$C$5+75),F14&gt;0)</formula>
    </cfRule>
  </conditionalFormatting>
  <conditionalFormatting sqref="Z14">
    <cfRule type="expression" priority="337" dxfId="0">
      <formula>=AND(G14&lt;('تنظیمات'!$C$5+85),H14&gt;('تنظیمات'!$C$5+80),F14&gt;0)</formula>
    </cfRule>
  </conditionalFormatting>
  <conditionalFormatting sqref="AA14">
    <cfRule type="expression" priority="338" dxfId="0">
      <formula>=AND(G14&lt;('تنظیمات'!$C$5+90),H14&gt;('تنظیمات'!$C$5+85),F14&gt;0)</formula>
    </cfRule>
  </conditionalFormatting>
  <conditionalFormatting sqref="AB14">
    <cfRule type="expression" priority="339" dxfId="0">
      <formula>=AND(G14&lt;('تنظیمات'!$C$5+95),H14&gt;('تنظیمات'!$C$5+90),F14&gt;0)</formula>
    </cfRule>
  </conditionalFormatting>
  <conditionalFormatting sqref="AC14">
    <cfRule type="expression" priority="340" dxfId="0">
      <formula>=AND(G14&lt;('تنظیمات'!$C$5+100),H14&gt;('تنظیمات'!$C$5+95),F14&gt;0)</formula>
    </cfRule>
  </conditionalFormatting>
  <conditionalFormatting sqref="AD14">
    <cfRule type="expression" priority="341" dxfId="0">
      <formula>=AND(G14&lt;('تنظیمات'!$C$5+105),H14&gt;('تنظیمات'!$C$5+100),F14&gt;0)</formula>
    </cfRule>
  </conditionalFormatting>
  <conditionalFormatting sqref="AE14">
    <cfRule type="expression" priority="342" dxfId="0">
      <formula>=AND(G14&lt;('تنظیمات'!$C$5+110),H14&gt;('تنظیمات'!$C$5+105),F14&gt;0)</formula>
    </cfRule>
  </conditionalFormatting>
  <conditionalFormatting sqref="AF14">
    <cfRule type="expression" priority="343" dxfId="0">
      <formula>=AND(G14&lt;('تنظیمات'!$C$5+115),H14&gt;('تنظیمات'!$C$5+110),F14&gt;0)</formula>
    </cfRule>
  </conditionalFormatting>
  <conditionalFormatting sqref="AG14">
    <cfRule type="expression" priority="344" dxfId="0">
      <formula>=AND(G14&lt;('تنظیمات'!$C$5+120),H14&gt;('تنظیمات'!$C$5+115),F14&gt;0)</formula>
    </cfRule>
  </conditionalFormatting>
  <conditionalFormatting sqref="AH14">
    <cfRule type="expression" priority="345" dxfId="0">
      <formula>=AND(G14&lt;('تنظیمات'!$C$5+125),H14&gt;('تنظیمات'!$C$5+120),F14&gt;0)</formula>
    </cfRule>
  </conditionalFormatting>
  <conditionalFormatting sqref="AI14">
    <cfRule type="expression" priority="346" dxfId="0">
      <formula>=AND(G14&lt;('تنظیمات'!$C$5+130),H14&gt;('تنظیمات'!$C$5+125),F14&gt;0)</formula>
    </cfRule>
  </conditionalFormatting>
  <conditionalFormatting sqref="AJ14">
    <cfRule type="expression" priority="347" dxfId="0">
      <formula>=AND(G14&lt;('تنظیمات'!$C$5+135),H14&gt;('تنظیمات'!$C$5+130),F14&gt;0)</formula>
    </cfRule>
  </conditionalFormatting>
  <conditionalFormatting sqref="AK14">
    <cfRule type="expression" priority="348" dxfId="0">
      <formula>=AND(G14&lt;('تنظیمات'!$C$5+140),H14&gt;('تنظیمات'!$C$5+135),F14&gt;0)</formula>
    </cfRule>
  </conditionalFormatting>
  <conditionalFormatting sqref="AL14">
    <cfRule type="expression" priority="349" dxfId="0">
      <formula>=AND(G14&lt;('تنظیمات'!$C$5+145),H14&gt;('تنظیمات'!$C$5+140),F14&gt;0)</formula>
    </cfRule>
  </conditionalFormatting>
  <conditionalFormatting sqref="AM14">
    <cfRule type="expression" priority="350" dxfId="0">
      <formula>=AND(G14&lt;('تنظیمات'!$C$5+150),H14&gt;('تنظیمات'!$C$5+145),F14&gt;0)</formula>
    </cfRule>
  </conditionalFormatting>
  <conditionalFormatting sqref="AN14">
    <cfRule type="expression" priority="351" dxfId="0">
      <formula>=AND(G14&lt;('تنظیمات'!$C$5+155),H14&gt;('تنظیمات'!$C$5+150),F14&gt;0)</formula>
    </cfRule>
  </conditionalFormatting>
  <conditionalFormatting sqref="AO14">
    <cfRule type="expression" priority="352" dxfId="0">
      <formula>=AND(G14&lt;('تنظیمات'!$C$5+160),H14&gt;('تنظیمات'!$C$5+155),F14&gt;0)</formula>
    </cfRule>
  </conditionalFormatting>
  <conditionalFormatting sqref="AP14">
    <cfRule type="expression" priority="353" dxfId="0">
      <formula>=AND(G14&lt;('تنظیمات'!$C$5+165),H14&gt;('تنظیمات'!$C$5+160),F14&gt;0)</formula>
    </cfRule>
  </conditionalFormatting>
  <conditionalFormatting sqref="AQ14">
    <cfRule type="expression" priority="354" dxfId="0">
      <formula>=AND(G14&lt;('تنظیمات'!$C$5+170),H14&gt;('تنظیمات'!$C$5+165),F14&gt;0)</formula>
    </cfRule>
  </conditionalFormatting>
  <conditionalFormatting sqref="AR14">
    <cfRule type="expression" priority="355" dxfId="0">
      <formula>=AND(G14&lt;('تنظیمات'!$C$5+175),H14&gt;('تنظیمات'!$C$5+170),F14&gt;0)</formula>
    </cfRule>
  </conditionalFormatting>
  <conditionalFormatting sqref="AS14">
    <cfRule type="expression" priority="356" dxfId="0">
      <formula>=AND(G14&lt;('تنظیمات'!$C$5+180),H14&gt;('تنظیمات'!$C$5+175),F14&gt;0)</formula>
    </cfRule>
  </conditionalFormatting>
  <conditionalFormatting sqref="AT14">
    <cfRule type="expression" priority="357" dxfId="0">
      <formula>=AND(G14&lt;('تنظیمات'!$C$5+185),H14&gt;('تنظیمات'!$C$5+180),F14&gt;0)</formula>
    </cfRule>
  </conditionalFormatting>
  <conditionalFormatting sqref="AU14">
    <cfRule type="expression" priority="358" dxfId="0">
      <formula>=AND(G14&lt;('تنظیمات'!$C$5+190),H14&gt;('تنظیمات'!$C$5+185),F14&gt;0)</formula>
    </cfRule>
  </conditionalFormatting>
  <conditionalFormatting sqref="AV14">
    <cfRule type="expression" priority="359" dxfId="0">
      <formula>=AND(G14&lt;('تنظیمات'!$C$5+195),H14&gt;('تنظیمات'!$C$5+190),F14&gt;0)</formula>
    </cfRule>
  </conditionalFormatting>
  <conditionalFormatting sqref="AW14">
    <cfRule type="expression" priority="360" dxfId="0">
      <formula>=AND(G14&lt;('تنظیمات'!$C$5+200),H14&gt;('تنظیمات'!$C$5+195),F14&gt;0)</formula>
    </cfRule>
  </conditionalFormatting>
  <conditionalFormatting sqref="J15">
    <cfRule type="expression" priority="361" dxfId="0">
      <formula>=AND(G15&lt;('تنظیمات'!$C$5+5),H15&gt;('تنظیمات'!$C$5+0),F15&gt;0)</formula>
    </cfRule>
  </conditionalFormatting>
  <conditionalFormatting sqref="K15">
    <cfRule type="expression" priority="362" dxfId="0">
      <formula>=AND(G15&lt;('تنظیمات'!$C$5+10),H15&gt;('تنظیمات'!$C$5+5),F15&gt;0)</formula>
    </cfRule>
  </conditionalFormatting>
  <conditionalFormatting sqref="L15">
    <cfRule type="expression" priority="363" dxfId="0">
      <formula>=AND(G15&lt;('تنظیمات'!$C$5+15),H15&gt;('تنظیمات'!$C$5+10),F15&gt;0)</formula>
    </cfRule>
  </conditionalFormatting>
  <conditionalFormatting sqref="M15">
    <cfRule type="expression" priority="364" dxfId="0">
      <formula>=AND(G15&lt;('تنظیمات'!$C$5+20),H15&gt;('تنظیمات'!$C$5+15),F15&gt;0)</formula>
    </cfRule>
  </conditionalFormatting>
  <conditionalFormatting sqref="N15">
    <cfRule type="expression" priority="365" dxfId="0">
      <formula>=AND(G15&lt;('تنظیمات'!$C$5+25),H15&gt;('تنظیمات'!$C$5+20),F15&gt;0)</formula>
    </cfRule>
  </conditionalFormatting>
  <conditionalFormatting sqref="O15">
    <cfRule type="expression" priority="366" dxfId="0">
      <formula>=AND(G15&lt;('تنظیمات'!$C$5+30),H15&gt;('تنظیمات'!$C$5+25),F15&gt;0)</formula>
    </cfRule>
  </conditionalFormatting>
  <conditionalFormatting sqref="P15">
    <cfRule type="expression" priority="367" dxfId="0">
      <formula>=AND(G15&lt;('تنظیمات'!$C$5+35),H15&gt;('تنظیمات'!$C$5+30),F15&gt;0)</formula>
    </cfRule>
  </conditionalFormatting>
  <conditionalFormatting sqref="Q15">
    <cfRule type="expression" priority="368" dxfId="0">
      <formula>=AND(G15&lt;('تنظیمات'!$C$5+40),H15&gt;('تنظیمات'!$C$5+35),F15&gt;0)</formula>
    </cfRule>
  </conditionalFormatting>
  <conditionalFormatting sqref="R15">
    <cfRule type="expression" priority="369" dxfId="0">
      <formula>=AND(G15&lt;('تنظیمات'!$C$5+45),H15&gt;('تنظیمات'!$C$5+40),F15&gt;0)</formula>
    </cfRule>
  </conditionalFormatting>
  <conditionalFormatting sqref="S15">
    <cfRule type="expression" priority="370" dxfId="0">
      <formula>=AND(G15&lt;('تنظیمات'!$C$5+50),H15&gt;('تنظیمات'!$C$5+45),F15&gt;0)</formula>
    </cfRule>
  </conditionalFormatting>
  <conditionalFormatting sqref="T15">
    <cfRule type="expression" priority="371" dxfId="0">
      <formula>=AND(G15&lt;('تنظیمات'!$C$5+55),H15&gt;('تنظیمات'!$C$5+50),F15&gt;0)</formula>
    </cfRule>
  </conditionalFormatting>
  <conditionalFormatting sqref="U15">
    <cfRule type="expression" priority="372" dxfId="0">
      <formula>=AND(G15&lt;('تنظیمات'!$C$5+60),H15&gt;('تنظیمات'!$C$5+55),F15&gt;0)</formula>
    </cfRule>
  </conditionalFormatting>
  <conditionalFormatting sqref="V15">
    <cfRule type="expression" priority="373" dxfId="0">
      <formula>=AND(G15&lt;('تنظیمات'!$C$5+65),H15&gt;('تنظیمات'!$C$5+60),F15&gt;0)</formula>
    </cfRule>
  </conditionalFormatting>
  <conditionalFormatting sqref="W15">
    <cfRule type="expression" priority="374" dxfId="0">
      <formula>=AND(G15&lt;('تنظیمات'!$C$5+70),H15&gt;('تنظیمات'!$C$5+65),F15&gt;0)</formula>
    </cfRule>
  </conditionalFormatting>
  <conditionalFormatting sqref="X15">
    <cfRule type="expression" priority="375" dxfId="0">
      <formula>=AND(G15&lt;('تنظیمات'!$C$5+75),H15&gt;('تنظیمات'!$C$5+70),F15&gt;0)</formula>
    </cfRule>
  </conditionalFormatting>
  <conditionalFormatting sqref="Y15">
    <cfRule type="expression" priority="376" dxfId="0">
      <formula>=AND(G15&lt;('تنظیمات'!$C$5+80),H15&gt;('تنظیمات'!$C$5+75),F15&gt;0)</formula>
    </cfRule>
  </conditionalFormatting>
  <conditionalFormatting sqref="Z15">
    <cfRule type="expression" priority="377" dxfId="0">
      <formula>=AND(G15&lt;('تنظیمات'!$C$5+85),H15&gt;('تنظیمات'!$C$5+80),F15&gt;0)</formula>
    </cfRule>
  </conditionalFormatting>
  <conditionalFormatting sqref="AA15">
    <cfRule type="expression" priority="378" dxfId="0">
      <formula>=AND(G15&lt;('تنظیمات'!$C$5+90),H15&gt;('تنظیمات'!$C$5+85),F15&gt;0)</formula>
    </cfRule>
  </conditionalFormatting>
  <conditionalFormatting sqref="AB15">
    <cfRule type="expression" priority="379" dxfId="0">
      <formula>=AND(G15&lt;('تنظیمات'!$C$5+95),H15&gt;('تنظیمات'!$C$5+90),F15&gt;0)</formula>
    </cfRule>
  </conditionalFormatting>
  <conditionalFormatting sqref="AC15">
    <cfRule type="expression" priority="380" dxfId="0">
      <formula>=AND(G15&lt;('تنظیمات'!$C$5+100),H15&gt;('تنظیمات'!$C$5+95),F15&gt;0)</formula>
    </cfRule>
  </conditionalFormatting>
  <conditionalFormatting sqref="AD15">
    <cfRule type="expression" priority="381" dxfId="0">
      <formula>=AND(G15&lt;('تنظیمات'!$C$5+105),H15&gt;('تنظیمات'!$C$5+100),F15&gt;0)</formula>
    </cfRule>
  </conditionalFormatting>
  <conditionalFormatting sqref="AE15">
    <cfRule type="expression" priority="382" dxfId="0">
      <formula>=AND(G15&lt;('تنظیمات'!$C$5+110),H15&gt;('تنظیمات'!$C$5+105),F15&gt;0)</formula>
    </cfRule>
  </conditionalFormatting>
  <conditionalFormatting sqref="AF15">
    <cfRule type="expression" priority="383" dxfId="0">
      <formula>=AND(G15&lt;('تنظیمات'!$C$5+115),H15&gt;('تنظیمات'!$C$5+110),F15&gt;0)</formula>
    </cfRule>
  </conditionalFormatting>
  <conditionalFormatting sqref="AG15">
    <cfRule type="expression" priority="384" dxfId="0">
      <formula>=AND(G15&lt;('تنظیمات'!$C$5+120),H15&gt;('تنظیمات'!$C$5+115),F15&gt;0)</formula>
    </cfRule>
  </conditionalFormatting>
  <conditionalFormatting sqref="AH15">
    <cfRule type="expression" priority="385" dxfId="0">
      <formula>=AND(G15&lt;('تنظیمات'!$C$5+125),H15&gt;('تنظیمات'!$C$5+120),F15&gt;0)</formula>
    </cfRule>
  </conditionalFormatting>
  <conditionalFormatting sqref="AI15">
    <cfRule type="expression" priority="386" dxfId="0">
      <formula>=AND(G15&lt;('تنظیمات'!$C$5+130),H15&gt;('تنظیمات'!$C$5+125),F15&gt;0)</formula>
    </cfRule>
  </conditionalFormatting>
  <conditionalFormatting sqref="AJ15">
    <cfRule type="expression" priority="387" dxfId="0">
      <formula>=AND(G15&lt;('تنظیمات'!$C$5+135),H15&gt;('تنظیمات'!$C$5+130),F15&gt;0)</formula>
    </cfRule>
  </conditionalFormatting>
  <conditionalFormatting sqref="AK15">
    <cfRule type="expression" priority="388" dxfId="0">
      <formula>=AND(G15&lt;('تنظیمات'!$C$5+140),H15&gt;('تنظیمات'!$C$5+135),F15&gt;0)</formula>
    </cfRule>
  </conditionalFormatting>
  <conditionalFormatting sqref="AL15">
    <cfRule type="expression" priority="389" dxfId="0">
      <formula>=AND(G15&lt;('تنظیمات'!$C$5+145),H15&gt;('تنظیمات'!$C$5+140),F15&gt;0)</formula>
    </cfRule>
  </conditionalFormatting>
  <conditionalFormatting sqref="AM15">
    <cfRule type="expression" priority="390" dxfId="0">
      <formula>=AND(G15&lt;('تنظیمات'!$C$5+150),H15&gt;('تنظیمات'!$C$5+145),F15&gt;0)</formula>
    </cfRule>
  </conditionalFormatting>
  <conditionalFormatting sqref="AN15">
    <cfRule type="expression" priority="391" dxfId="0">
      <formula>=AND(G15&lt;('تنظیمات'!$C$5+155),H15&gt;('تنظیمات'!$C$5+150),F15&gt;0)</formula>
    </cfRule>
  </conditionalFormatting>
  <conditionalFormatting sqref="AO15">
    <cfRule type="expression" priority="392" dxfId="0">
      <formula>=AND(G15&lt;('تنظیمات'!$C$5+160),H15&gt;('تنظیمات'!$C$5+155),F15&gt;0)</formula>
    </cfRule>
  </conditionalFormatting>
  <conditionalFormatting sqref="AP15">
    <cfRule type="expression" priority="393" dxfId="0">
      <formula>=AND(G15&lt;('تنظیمات'!$C$5+165),H15&gt;('تنظیمات'!$C$5+160),F15&gt;0)</formula>
    </cfRule>
  </conditionalFormatting>
  <conditionalFormatting sqref="AQ15">
    <cfRule type="expression" priority="394" dxfId="0">
      <formula>=AND(G15&lt;('تنظیمات'!$C$5+170),H15&gt;('تنظیمات'!$C$5+165),F15&gt;0)</formula>
    </cfRule>
  </conditionalFormatting>
  <conditionalFormatting sqref="AR15">
    <cfRule type="expression" priority="395" dxfId="0">
      <formula>=AND(G15&lt;('تنظیمات'!$C$5+175),H15&gt;('تنظیمات'!$C$5+170),F15&gt;0)</formula>
    </cfRule>
  </conditionalFormatting>
  <conditionalFormatting sqref="AS15">
    <cfRule type="expression" priority="396" dxfId="0">
      <formula>=AND(G15&lt;('تنظیمات'!$C$5+180),H15&gt;('تنظیمات'!$C$5+175),F15&gt;0)</formula>
    </cfRule>
  </conditionalFormatting>
  <conditionalFormatting sqref="AT15">
    <cfRule type="expression" priority="397" dxfId="0">
      <formula>=AND(G15&lt;('تنظیمات'!$C$5+185),H15&gt;('تنظیمات'!$C$5+180),F15&gt;0)</formula>
    </cfRule>
  </conditionalFormatting>
  <conditionalFormatting sqref="AU15">
    <cfRule type="expression" priority="398" dxfId="0">
      <formula>=AND(G15&lt;('تنظیمات'!$C$5+190),H15&gt;('تنظیمات'!$C$5+185),F15&gt;0)</formula>
    </cfRule>
  </conditionalFormatting>
  <conditionalFormatting sqref="AV15">
    <cfRule type="expression" priority="399" dxfId="0">
      <formula>=AND(G15&lt;('تنظیمات'!$C$5+195),H15&gt;('تنظیمات'!$C$5+190),F15&gt;0)</formula>
    </cfRule>
  </conditionalFormatting>
  <conditionalFormatting sqref="AW15">
    <cfRule type="expression" priority="400" dxfId="0">
      <formula>=AND(G15&lt;('تنظیمات'!$C$5+200),H15&gt;('تنظیمات'!$C$5+195),F15&gt;0)</formula>
    </cfRule>
  </conditionalFormatting>
  <conditionalFormatting sqref="J16">
    <cfRule type="expression" priority="401" dxfId="0">
      <formula>=AND(G16&lt;('تنظیمات'!$C$5+5),H16&gt;('تنظیمات'!$C$5+0),F16&gt;0)</formula>
    </cfRule>
  </conditionalFormatting>
  <conditionalFormatting sqref="K16">
    <cfRule type="expression" priority="402" dxfId="0">
      <formula>=AND(G16&lt;('تنظیمات'!$C$5+10),H16&gt;('تنظیمات'!$C$5+5),F16&gt;0)</formula>
    </cfRule>
  </conditionalFormatting>
  <conditionalFormatting sqref="L16">
    <cfRule type="expression" priority="403" dxfId="0">
      <formula>=AND(G16&lt;('تنظیمات'!$C$5+15),H16&gt;('تنظیمات'!$C$5+10),F16&gt;0)</formula>
    </cfRule>
  </conditionalFormatting>
  <conditionalFormatting sqref="M16">
    <cfRule type="expression" priority="404" dxfId="0">
      <formula>=AND(G16&lt;('تنظیمات'!$C$5+20),H16&gt;('تنظیمات'!$C$5+15),F16&gt;0)</formula>
    </cfRule>
  </conditionalFormatting>
  <conditionalFormatting sqref="N16">
    <cfRule type="expression" priority="405" dxfId="0">
      <formula>=AND(G16&lt;('تنظیمات'!$C$5+25),H16&gt;('تنظیمات'!$C$5+20),F16&gt;0)</formula>
    </cfRule>
  </conditionalFormatting>
  <conditionalFormatting sqref="O16">
    <cfRule type="expression" priority="406" dxfId="0">
      <formula>=AND(G16&lt;('تنظیمات'!$C$5+30),H16&gt;('تنظیمات'!$C$5+25),F16&gt;0)</formula>
    </cfRule>
  </conditionalFormatting>
  <conditionalFormatting sqref="P16">
    <cfRule type="expression" priority="407" dxfId="0">
      <formula>=AND(G16&lt;('تنظیمات'!$C$5+35),H16&gt;('تنظیمات'!$C$5+30),F16&gt;0)</formula>
    </cfRule>
  </conditionalFormatting>
  <conditionalFormatting sqref="Q16">
    <cfRule type="expression" priority="408" dxfId="0">
      <formula>=AND(G16&lt;('تنظیمات'!$C$5+40),H16&gt;('تنظیمات'!$C$5+35),F16&gt;0)</formula>
    </cfRule>
  </conditionalFormatting>
  <conditionalFormatting sqref="R16">
    <cfRule type="expression" priority="409" dxfId="0">
      <formula>=AND(G16&lt;('تنظیمات'!$C$5+45),H16&gt;('تنظیمات'!$C$5+40),F16&gt;0)</formula>
    </cfRule>
  </conditionalFormatting>
  <conditionalFormatting sqref="S16">
    <cfRule type="expression" priority="410" dxfId="0">
      <formula>=AND(G16&lt;('تنظیمات'!$C$5+50),H16&gt;('تنظیمات'!$C$5+45),F16&gt;0)</formula>
    </cfRule>
  </conditionalFormatting>
  <conditionalFormatting sqref="T16">
    <cfRule type="expression" priority="411" dxfId="0">
      <formula>=AND(G16&lt;('تنظیمات'!$C$5+55),H16&gt;('تنظیمات'!$C$5+50),F16&gt;0)</formula>
    </cfRule>
  </conditionalFormatting>
  <conditionalFormatting sqref="U16">
    <cfRule type="expression" priority="412" dxfId="0">
      <formula>=AND(G16&lt;('تنظیمات'!$C$5+60),H16&gt;('تنظیمات'!$C$5+55),F16&gt;0)</formula>
    </cfRule>
  </conditionalFormatting>
  <conditionalFormatting sqref="V16">
    <cfRule type="expression" priority="413" dxfId="0">
      <formula>=AND(G16&lt;('تنظیمات'!$C$5+65),H16&gt;('تنظیمات'!$C$5+60),F16&gt;0)</formula>
    </cfRule>
  </conditionalFormatting>
  <conditionalFormatting sqref="W16">
    <cfRule type="expression" priority="414" dxfId="0">
      <formula>=AND(G16&lt;('تنظیمات'!$C$5+70),H16&gt;('تنظیمات'!$C$5+65),F16&gt;0)</formula>
    </cfRule>
  </conditionalFormatting>
  <conditionalFormatting sqref="X16">
    <cfRule type="expression" priority="415" dxfId="0">
      <formula>=AND(G16&lt;('تنظیمات'!$C$5+75),H16&gt;('تنظیمات'!$C$5+70),F16&gt;0)</formula>
    </cfRule>
  </conditionalFormatting>
  <conditionalFormatting sqref="Y16">
    <cfRule type="expression" priority="416" dxfId="0">
      <formula>=AND(G16&lt;('تنظیمات'!$C$5+80),H16&gt;('تنظیمات'!$C$5+75),F16&gt;0)</formula>
    </cfRule>
  </conditionalFormatting>
  <conditionalFormatting sqref="Z16">
    <cfRule type="expression" priority="417" dxfId="0">
      <formula>=AND(G16&lt;('تنظیمات'!$C$5+85),H16&gt;('تنظیمات'!$C$5+80),F16&gt;0)</formula>
    </cfRule>
  </conditionalFormatting>
  <conditionalFormatting sqref="AA16">
    <cfRule type="expression" priority="418" dxfId="0">
      <formula>=AND(G16&lt;('تنظیمات'!$C$5+90),H16&gt;('تنظیمات'!$C$5+85),F16&gt;0)</formula>
    </cfRule>
  </conditionalFormatting>
  <conditionalFormatting sqref="AB16">
    <cfRule type="expression" priority="419" dxfId="0">
      <formula>=AND(G16&lt;('تنظیمات'!$C$5+95),H16&gt;('تنظیمات'!$C$5+90),F16&gt;0)</formula>
    </cfRule>
  </conditionalFormatting>
  <conditionalFormatting sqref="AC16">
    <cfRule type="expression" priority="420" dxfId="0">
      <formula>=AND(G16&lt;('تنظیمات'!$C$5+100),H16&gt;('تنظیمات'!$C$5+95),F16&gt;0)</formula>
    </cfRule>
  </conditionalFormatting>
  <conditionalFormatting sqref="AD16">
    <cfRule type="expression" priority="421" dxfId="0">
      <formula>=AND(G16&lt;('تنظیمات'!$C$5+105),H16&gt;('تنظیمات'!$C$5+100),F16&gt;0)</formula>
    </cfRule>
  </conditionalFormatting>
  <conditionalFormatting sqref="AE16">
    <cfRule type="expression" priority="422" dxfId="0">
      <formula>=AND(G16&lt;('تنظیمات'!$C$5+110),H16&gt;('تنظیمات'!$C$5+105),F16&gt;0)</formula>
    </cfRule>
  </conditionalFormatting>
  <conditionalFormatting sqref="AF16">
    <cfRule type="expression" priority="423" dxfId="0">
      <formula>=AND(G16&lt;('تنظیمات'!$C$5+115),H16&gt;('تنظیمات'!$C$5+110),F16&gt;0)</formula>
    </cfRule>
  </conditionalFormatting>
  <conditionalFormatting sqref="AG16">
    <cfRule type="expression" priority="424" dxfId="0">
      <formula>=AND(G16&lt;('تنظیمات'!$C$5+120),H16&gt;('تنظیمات'!$C$5+115),F16&gt;0)</formula>
    </cfRule>
  </conditionalFormatting>
  <conditionalFormatting sqref="AH16">
    <cfRule type="expression" priority="425" dxfId="0">
      <formula>=AND(G16&lt;('تنظیمات'!$C$5+125),H16&gt;('تنظیمات'!$C$5+120),F16&gt;0)</formula>
    </cfRule>
  </conditionalFormatting>
  <conditionalFormatting sqref="AI16">
    <cfRule type="expression" priority="426" dxfId="0">
      <formula>=AND(G16&lt;('تنظیمات'!$C$5+130),H16&gt;('تنظیمات'!$C$5+125),F16&gt;0)</formula>
    </cfRule>
  </conditionalFormatting>
  <conditionalFormatting sqref="AJ16">
    <cfRule type="expression" priority="427" dxfId="0">
      <formula>=AND(G16&lt;('تنظیمات'!$C$5+135),H16&gt;('تنظیمات'!$C$5+130),F16&gt;0)</formula>
    </cfRule>
  </conditionalFormatting>
  <conditionalFormatting sqref="AK16">
    <cfRule type="expression" priority="428" dxfId="0">
      <formula>=AND(G16&lt;('تنظیمات'!$C$5+140),H16&gt;('تنظیمات'!$C$5+135),F16&gt;0)</formula>
    </cfRule>
  </conditionalFormatting>
  <conditionalFormatting sqref="AL16">
    <cfRule type="expression" priority="429" dxfId="0">
      <formula>=AND(G16&lt;('تنظیمات'!$C$5+145),H16&gt;('تنظیمات'!$C$5+140),F16&gt;0)</formula>
    </cfRule>
  </conditionalFormatting>
  <conditionalFormatting sqref="AM16">
    <cfRule type="expression" priority="430" dxfId="0">
      <formula>=AND(G16&lt;('تنظیمات'!$C$5+150),H16&gt;('تنظیمات'!$C$5+145),F16&gt;0)</formula>
    </cfRule>
  </conditionalFormatting>
  <conditionalFormatting sqref="AN16">
    <cfRule type="expression" priority="431" dxfId="0">
      <formula>=AND(G16&lt;('تنظیمات'!$C$5+155),H16&gt;('تنظیمات'!$C$5+150),F16&gt;0)</formula>
    </cfRule>
  </conditionalFormatting>
  <conditionalFormatting sqref="AO16">
    <cfRule type="expression" priority="432" dxfId="0">
      <formula>=AND(G16&lt;('تنظیمات'!$C$5+160),H16&gt;('تنظیمات'!$C$5+155),F16&gt;0)</formula>
    </cfRule>
  </conditionalFormatting>
  <conditionalFormatting sqref="AP16">
    <cfRule type="expression" priority="433" dxfId="0">
      <formula>=AND(G16&lt;('تنظیمات'!$C$5+165),H16&gt;('تنظیمات'!$C$5+160),F16&gt;0)</formula>
    </cfRule>
  </conditionalFormatting>
  <conditionalFormatting sqref="AQ16">
    <cfRule type="expression" priority="434" dxfId="0">
      <formula>=AND(G16&lt;('تنظیمات'!$C$5+170),H16&gt;('تنظیمات'!$C$5+165),F16&gt;0)</formula>
    </cfRule>
  </conditionalFormatting>
  <conditionalFormatting sqref="AR16">
    <cfRule type="expression" priority="435" dxfId="0">
      <formula>=AND(G16&lt;('تنظیمات'!$C$5+175),H16&gt;('تنظیمات'!$C$5+170),F16&gt;0)</formula>
    </cfRule>
  </conditionalFormatting>
  <conditionalFormatting sqref="AS16">
    <cfRule type="expression" priority="436" dxfId="0">
      <formula>=AND(G16&lt;('تنظیمات'!$C$5+180),H16&gt;('تنظیمات'!$C$5+175),F16&gt;0)</formula>
    </cfRule>
  </conditionalFormatting>
  <conditionalFormatting sqref="AT16">
    <cfRule type="expression" priority="437" dxfId="0">
      <formula>=AND(G16&lt;('تنظیمات'!$C$5+185),H16&gt;('تنظیمات'!$C$5+180),F16&gt;0)</formula>
    </cfRule>
  </conditionalFormatting>
  <conditionalFormatting sqref="AU16">
    <cfRule type="expression" priority="438" dxfId="0">
      <formula>=AND(G16&lt;('تنظیمات'!$C$5+190),H16&gt;('تنظیمات'!$C$5+185),F16&gt;0)</formula>
    </cfRule>
  </conditionalFormatting>
  <conditionalFormatting sqref="AV16">
    <cfRule type="expression" priority="439" dxfId="0">
      <formula>=AND(G16&lt;('تنظیمات'!$C$5+195),H16&gt;('تنظیمات'!$C$5+190),F16&gt;0)</formula>
    </cfRule>
  </conditionalFormatting>
  <conditionalFormatting sqref="AW16">
    <cfRule type="expression" priority="440" dxfId="0">
      <formula>=AND(G16&lt;('تنظیمات'!$C$5+200),H16&gt;('تنظیمات'!$C$5+195),F16&gt;0)</formula>
    </cfRule>
  </conditionalFormatting>
  <conditionalFormatting sqref="J17">
    <cfRule type="expression" priority="441" dxfId="0">
      <formula>=AND(G17&lt;('تنظیمات'!$C$5+5),H17&gt;('تنظیمات'!$C$5+0),F17&gt;0)</formula>
    </cfRule>
  </conditionalFormatting>
  <conditionalFormatting sqref="K17">
    <cfRule type="expression" priority="442" dxfId="0">
      <formula>=AND(G17&lt;('تنظیمات'!$C$5+10),H17&gt;('تنظیمات'!$C$5+5),F17&gt;0)</formula>
    </cfRule>
  </conditionalFormatting>
  <conditionalFormatting sqref="L17">
    <cfRule type="expression" priority="443" dxfId="0">
      <formula>=AND(G17&lt;('تنظیمات'!$C$5+15),H17&gt;('تنظیمات'!$C$5+10),F17&gt;0)</formula>
    </cfRule>
  </conditionalFormatting>
  <conditionalFormatting sqref="M17">
    <cfRule type="expression" priority="444" dxfId="0">
      <formula>=AND(G17&lt;('تنظیمات'!$C$5+20),H17&gt;('تنظیمات'!$C$5+15),F17&gt;0)</formula>
    </cfRule>
  </conditionalFormatting>
  <conditionalFormatting sqref="N17">
    <cfRule type="expression" priority="445" dxfId="0">
      <formula>=AND(G17&lt;('تنظیمات'!$C$5+25),H17&gt;('تنظیمات'!$C$5+20),F17&gt;0)</formula>
    </cfRule>
  </conditionalFormatting>
  <conditionalFormatting sqref="O17">
    <cfRule type="expression" priority="446" dxfId="0">
      <formula>=AND(G17&lt;('تنظیمات'!$C$5+30),H17&gt;('تنظیمات'!$C$5+25),F17&gt;0)</formula>
    </cfRule>
  </conditionalFormatting>
  <conditionalFormatting sqref="P17">
    <cfRule type="expression" priority="447" dxfId="0">
      <formula>=AND(G17&lt;('تنظیمات'!$C$5+35),H17&gt;('تنظیمات'!$C$5+30),F17&gt;0)</formula>
    </cfRule>
  </conditionalFormatting>
  <conditionalFormatting sqref="Q17">
    <cfRule type="expression" priority="448" dxfId="0">
      <formula>=AND(G17&lt;('تنظیمات'!$C$5+40),H17&gt;('تنظیمات'!$C$5+35),F17&gt;0)</formula>
    </cfRule>
  </conditionalFormatting>
  <conditionalFormatting sqref="R17">
    <cfRule type="expression" priority="449" dxfId="0">
      <formula>=AND(G17&lt;('تنظیمات'!$C$5+45),H17&gt;('تنظیمات'!$C$5+40),F17&gt;0)</formula>
    </cfRule>
  </conditionalFormatting>
  <conditionalFormatting sqref="S17">
    <cfRule type="expression" priority="450" dxfId="0">
      <formula>=AND(G17&lt;('تنظیمات'!$C$5+50),H17&gt;('تنظیمات'!$C$5+45),F17&gt;0)</formula>
    </cfRule>
  </conditionalFormatting>
  <conditionalFormatting sqref="T17">
    <cfRule type="expression" priority="451" dxfId="0">
      <formula>=AND(G17&lt;('تنظیمات'!$C$5+55),H17&gt;('تنظیمات'!$C$5+50),F17&gt;0)</formula>
    </cfRule>
  </conditionalFormatting>
  <conditionalFormatting sqref="U17">
    <cfRule type="expression" priority="452" dxfId="0">
      <formula>=AND(G17&lt;('تنظیمات'!$C$5+60),H17&gt;('تنظیمات'!$C$5+55),F17&gt;0)</formula>
    </cfRule>
  </conditionalFormatting>
  <conditionalFormatting sqref="V17">
    <cfRule type="expression" priority="453" dxfId="0">
      <formula>=AND(G17&lt;('تنظیمات'!$C$5+65),H17&gt;('تنظیمات'!$C$5+60),F17&gt;0)</formula>
    </cfRule>
  </conditionalFormatting>
  <conditionalFormatting sqref="W17">
    <cfRule type="expression" priority="454" dxfId="0">
      <formula>=AND(G17&lt;('تنظیمات'!$C$5+70),H17&gt;('تنظیمات'!$C$5+65),F17&gt;0)</formula>
    </cfRule>
  </conditionalFormatting>
  <conditionalFormatting sqref="X17">
    <cfRule type="expression" priority="455" dxfId="0">
      <formula>=AND(G17&lt;('تنظیمات'!$C$5+75),H17&gt;('تنظیمات'!$C$5+70),F17&gt;0)</formula>
    </cfRule>
  </conditionalFormatting>
  <conditionalFormatting sqref="Y17">
    <cfRule type="expression" priority="456" dxfId="0">
      <formula>=AND(G17&lt;('تنظیمات'!$C$5+80),H17&gt;('تنظیمات'!$C$5+75),F17&gt;0)</formula>
    </cfRule>
  </conditionalFormatting>
  <conditionalFormatting sqref="Z17">
    <cfRule type="expression" priority="457" dxfId="0">
      <formula>=AND(G17&lt;('تنظیمات'!$C$5+85),H17&gt;('تنظیمات'!$C$5+80),F17&gt;0)</formula>
    </cfRule>
  </conditionalFormatting>
  <conditionalFormatting sqref="AA17">
    <cfRule type="expression" priority="458" dxfId="0">
      <formula>=AND(G17&lt;('تنظیمات'!$C$5+90),H17&gt;('تنظیمات'!$C$5+85),F17&gt;0)</formula>
    </cfRule>
  </conditionalFormatting>
  <conditionalFormatting sqref="AB17">
    <cfRule type="expression" priority="459" dxfId="0">
      <formula>=AND(G17&lt;('تنظیمات'!$C$5+95),H17&gt;('تنظیمات'!$C$5+90),F17&gt;0)</formula>
    </cfRule>
  </conditionalFormatting>
  <conditionalFormatting sqref="AC17">
    <cfRule type="expression" priority="460" dxfId="0">
      <formula>=AND(G17&lt;('تنظیمات'!$C$5+100),H17&gt;('تنظیمات'!$C$5+95),F17&gt;0)</formula>
    </cfRule>
  </conditionalFormatting>
  <conditionalFormatting sqref="AD17">
    <cfRule type="expression" priority="461" dxfId="0">
      <formula>=AND(G17&lt;('تنظیمات'!$C$5+105),H17&gt;('تنظیمات'!$C$5+100),F17&gt;0)</formula>
    </cfRule>
  </conditionalFormatting>
  <conditionalFormatting sqref="AE17">
    <cfRule type="expression" priority="462" dxfId="0">
      <formula>=AND(G17&lt;('تنظیمات'!$C$5+110),H17&gt;('تنظیمات'!$C$5+105),F17&gt;0)</formula>
    </cfRule>
  </conditionalFormatting>
  <conditionalFormatting sqref="AF17">
    <cfRule type="expression" priority="463" dxfId="0">
      <formula>=AND(G17&lt;('تنظیمات'!$C$5+115),H17&gt;('تنظیمات'!$C$5+110),F17&gt;0)</formula>
    </cfRule>
  </conditionalFormatting>
  <conditionalFormatting sqref="AG17">
    <cfRule type="expression" priority="464" dxfId="0">
      <formula>=AND(G17&lt;('تنظیمات'!$C$5+120),H17&gt;('تنظیمات'!$C$5+115),F17&gt;0)</formula>
    </cfRule>
  </conditionalFormatting>
  <conditionalFormatting sqref="AH17">
    <cfRule type="expression" priority="465" dxfId="0">
      <formula>=AND(G17&lt;('تنظیمات'!$C$5+125),H17&gt;('تنظیمات'!$C$5+120),F17&gt;0)</formula>
    </cfRule>
  </conditionalFormatting>
  <conditionalFormatting sqref="AI17">
    <cfRule type="expression" priority="466" dxfId="0">
      <formula>=AND(G17&lt;('تنظیمات'!$C$5+130),H17&gt;('تنظیمات'!$C$5+125),F17&gt;0)</formula>
    </cfRule>
  </conditionalFormatting>
  <conditionalFormatting sqref="AJ17">
    <cfRule type="expression" priority="467" dxfId="0">
      <formula>=AND(G17&lt;('تنظیمات'!$C$5+135),H17&gt;('تنظیمات'!$C$5+130),F17&gt;0)</formula>
    </cfRule>
  </conditionalFormatting>
  <conditionalFormatting sqref="AK17">
    <cfRule type="expression" priority="468" dxfId="0">
      <formula>=AND(G17&lt;('تنظیمات'!$C$5+140),H17&gt;('تنظیمات'!$C$5+135),F17&gt;0)</formula>
    </cfRule>
  </conditionalFormatting>
  <conditionalFormatting sqref="AL17">
    <cfRule type="expression" priority="469" dxfId="0">
      <formula>=AND(G17&lt;('تنظیمات'!$C$5+145),H17&gt;('تنظیمات'!$C$5+140),F17&gt;0)</formula>
    </cfRule>
  </conditionalFormatting>
  <conditionalFormatting sqref="AM17">
    <cfRule type="expression" priority="470" dxfId="0">
      <formula>=AND(G17&lt;('تنظیمات'!$C$5+150),H17&gt;('تنظیمات'!$C$5+145),F17&gt;0)</formula>
    </cfRule>
  </conditionalFormatting>
  <conditionalFormatting sqref="AN17">
    <cfRule type="expression" priority="471" dxfId="0">
      <formula>=AND(G17&lt;('تنظیمات'!$C$5+155),H17&gt;('تنظیمات'!$C$5+150),F17&gt;0)</formula>
    </cfRule>
  </conditionalFormatting>
  <conditionalFormatting sqref="AO17">
    <cfRule type="expression" priority="472" dxfId="0">
      <formula>=AND(G17&lt;('تنظیمات'!$C$5+160),H17&gt;('تنظیمات'!$C$5+155),F17&gt;0)</formula>
    </cfRule>
  </conditionalFormatting>
  <conditionalFormatting sqref="AP17">
    <cfRule type="expression" priority="473" dxfId="0">
      <formula>=AND(G17&lt;('تنظیمات'!$C$5+165),H17&gt;('تنظیمات'!$C$5+160),F17&gt;0)</formula>
    </cfRule>
  </conditionalFormatting>
  <conditionalFormatting sqref="AQ17">
    <cfRule type="expression" priority="474" dxfId="0">
      <formula>=AND(G17&lt;('تنظیمات'!$C$5+170),H17&gt;('تنظیمات'!$C$5+165),F17&gt;0)</formula>
    </cfRule>
  </conditionalFormatting>
  <conditionalFormatting sqref="AR17">
    <cfRule type="expression" priority="475" dxfId="0">
      <formula>=AND(G17&lt;('تنظیمات'!$C$5+175),H17&gt;('تنظیمات'!$C$5+170),F17&gt;0)</formula>
    </cfRule>
  </conditionalFormatting>
  <conditionalFormatting sqref="AS17">
    <cfRule type="expression" priority="476" dxfId="0">
      <formula>=AND(G17&lt;('تنظیمات'!$C$5+180),H17&gt;('تنظیمات'!$C$5+175),F17&gt;0)</formula>
    </cfRule>
  </conditionalFormatting>
  <conditionalFormatting sqref="AT17">
    <cfRule type="expression" priority="477" dxfId="0">
      <formula>=AND(G17&lt;('تنظیمات'!$C$5+185),H17&gt;('تنظیمات'!$C$5+180),F17&gt;0)</formula>
    </cfRule>
  </conditionalFormatting>
  <conditionalFormatting sqref="AU17">
    <cfRule type="expression" priority="478" dxfId="0">
      <formula>=AND(G17&lt;('تنظیمات'!$C$5+190),H17&gt;('تنظیمات'!$C$5+185),F17&gt;0)</formula>
    </cfRule>
  </conditionalFormatting>
  <conditionalFormatting sqref="AV17">
    <cfRule type="expression" priority="479" dxfId="0">
      <formula>=AND(G17&lt;('تنظیمات'!$C$5+195),H17&gt;('تنظیمات'!$C$5+190),F17&gt;0)</formula>
    </cfRule>
  </conditionalFormatting>
  <conditionalFormatting sqref="AW17">
    <cfRule type="expression" priority="480" dxfId="0">
      <formula>=AND(G17&lt;('تنظیمات'!$C$5+200),H17&gt;('تنظیمات'!$C$5+195),F17&gt;0)</formula>
    </cfRule>
  </conditionalFormatting>
  <conditionalFormatting sqref="J18">
    <cfRule type="expression" priority="481" dxfId="0">
      <formula>=AND(G18&lt;('تنظیمات'!$C$5+5),H18&gt;('تنظیمات'!$C$5+0),F18&gt;0)</formula>
    </cfRule>
  </conditionalFormatting>
  <conditionalFormatting sqref="K18">
    <cfRule type="expression" priority="482" dxfId="0">
      <formula>=AND(G18&lt;('تنظیمات'!$C$5+10),H18&gt;('تنظیمات'!$C$5+5),F18&gt;0)</formula>
    </cfRule>
  </conditionalFormatting>
  <conditionalFormatting sqref="L18">
    <cfRule type="expression" priority="483" dxfId="0">
      <formula>=AND(G18&lt;('تنظیمات'!$C$5+15),H18&gt;('تنظیمات'!$C$5+10),F18&gt;0)</formula>
    </cfRule>
  </conditionalFormatting>
  <conditionalFormatting sqref="M18">
    <cfRule type="expression" priority="484" dxfId="0">
      <formula>=AND(G18&lt;('تنظیمات'!$C$5+20),H18&gt;('تنظیمات'!$C$5+15),F18&gt;0)</formula>
    </cfRule>
  </conditionalFormatting>
  <conditionalFormatting sqref="N18">
    <cfRule type="expression" priority="485" dxfId="0">
      <formula>=AND(G18&lt;('تنظیمات'!$C$5+25),H18&gt;('تنظیمات'!$C$5+20),F18&gt;0)</formula>
    </cfRule>
  </conditionalFormatting>
  <conditionalFormatting sqref="O18">
    <cfRule type="expression" priority="486" dxfId="0">
      <formula>=AND(G18&lt;('تنظیمات'!$C$5+30),H18&gt;('تنظیمات'!$C$5+25),F18&gt;0)</formula>
    </cfRule>
  </conditionalFormatting>
  <conditionalFormatting sqref="P18">
    <cfRule type="expression" priority="487" dxfId="0">
      <formula>=AND(G18&lt;('تنظیمات'!$C$5+35),H18&gt;('تنظیمات'!$C$5+30),F18&gt;0)</formula>
    </cfRule>
  </conditionalFormatting>
  <conditionalFormatting sqref="Q18">
    <cfRule type="expression" priority="488" dxfId="0">
      <formula>=AND(G18&lt;('تنظیمات'!$C$5+40),H18&gt;('تنظیمات'!$C$5+35),F18&gt;0)</formula>
    </cfRule>
  </conditionalFormatting>
  <conditionalFormatting sqref="R18">
    <cfRule type="expression" priority="489" dxfId="0">
      <formula>=AND(G18&lt;('تنظیمات'!$C$5+45),H18&gt;('تنظیمات'!$C$5+40),F18&gt;0)</formula>
    </cfRule>
  </conditionalFormatting>
  <conditionalFormatting sqref="S18">
    <cfRule type="expression" priority="490" dxfId="0">
      <formula>=AND(G18&lt;('تنظیمات'!$C$5+50),H18&gt;('تنظیمات'!$C$5+45),F18&gt;0)</formula>
    </cfRule>
  </conditionalFormatting>
  <conditionalFormatting sqref="T18">
    <cfRule type="expression" priority="491" dxfId="0">
      <formula>=AND(G18&lt;('تنظیمات'!$C$5+55),H18&gt;('تنظیمات'!$C$5+50),F18&gt;0)</formula>
    </cfRule>
  </conditionalFormatting>
  <conditionalFormatting sqref="U18">
    <cfRule type="expression" priority="492" dxfId="0">
      <formula>=AND(G18&lt;('تنظیمات'!$C$5+60),H18&gt;('تنظیمات'!$C$5+55),F18&gt;0)</formula>
    </cfRule>
  </conditionalFormatting>
  <conditionalFormatting sqref="V18">
    <cfRule type="expression" priority="493" dxfId="0">
      <formula>=AND(G18&lt;('تنظیمات'!$C$5+65),H18&gt;('تنظیمات'!$C$5+60),F18&gt;0)</formula>
    </cfRule>
  </conditionalFormatting>
  <conditionalFormatting sqref="W18">
    <cfRule type="expression" priority="494" dxfId="0">
      <formula>=AND(G18&lt;('تنظیمات'!$C$5+70),H18&gt;('تنظیمات'!$C$5+65),F18&gt;0)</formula>
    </cfRule>
  </conditionalFormatting>
  <conditionalFormatting sqref="X18">
    <cfRule type="expression" priority="495" dxfId="0">
      <formula>=AND(G18&lt;('تنظیمات'!$C$5+75),H18&gt;('تنظیمات'!$C$5+70),F18&gt;0)</formula>
    </cfRule>
  </conditionalFormatting>
  <conditionalFormatting sqref="Y18">
    <cfRule type="expression" priority="496" dxfId="0">
      <formula>=AND(G18&lt;('تنظیمات'!$C$5+80),H18&gt;('تنظیمات'!$C$5+75),F18&gt;0)</formula>
    </cfRule>
  </conditionalFormatting>
  <conditionalFormatting sqref="Z18">
    <cfRule type="expression" priority="497" dxfId="0">
      <formula>=AND(G18&lt;('تنظیمات'!$C$5+85),H18&gt;('تنظیمات'!$C$5+80),F18&gt;0)</formula>
    </cfRule>
  </conditionalFormatting>
  <conditionalFormatting sqref="AA18">
    <cfRule type="expression" priority="498" dxfId="0">
      <formula>=AND(G18&lt;('تنظیمات'!$C$5+90),H18&gt;('تنظیمات'!$C$5+85),F18&gt;0)</formula>
    </cfRule>
  </conditionalFormatting>
  <conditionalFormatting sqref="AB18">
    <cfRule type="expression" priority="499" dxfId="0">
      <formula>=AND(G18&lt;('تنظیمات'!$C$5+95),H18&gt;('تنظیمات'!$C$5+90),F18&gt;0)</formula>
    </cfRule>
  </conditionalFormatting>
  <conditionalFormatting sqref="AC18">
    <cfRule type="expression" priority="500" dxfId="0">
      <formula>=AND(G18&lt;('تنظیمات'!$C$5+100),H18&gt;('تنظیمات'!$C$5+95),F18&gt;0)</formula>
    </cfRule>
  </conditionalFormatting>
  <conditionalFormatting sqref="AD18">
    <cfRule type="expression" priority="501" dxfId="0">
      <formula>=AND(G18&lt;('تنظیمات'!$C$5+105),H18&gt;('تنظیمات'!$C$5+100),F18&gt;0)</formula>
    </cfRule>
  </conditionalFormatting>
  <conditionalFormatting sqref="AE18">
    <cfRule type="expression" priority="502" dxfId="0">
      <formula>=AND(G18&lt;('تنظیمات'!$C$5+110),H18&gt;('تنظیمات'!$C$5+105),F18&gt;0)</formula>
    </cfRule>
  </conditionalFormatting>
  <conditionalFormatting sqref="AF18">
    <cfRule type="expression" priority="503" dxfId="0">
      <formula>=AND(G18&lt;('تنظیمات'!$C$5+115),H18&gt;('تنظیمات'!$C$5+110),F18&gt;0)</formula>
    </cfRule>
  </conditionalFormatting>
  <conditionalFormatting sqref="AG18">
    <cfRule type="expression" priority="504" dxfId="0">
      <formula>=AND(G18&lt;('تنظیمات'!$C$5+120),H18&gt;('تنظیمات'!$C$5+115),F18&gt;0)</formula>
    </cfRule>
  </conditionalFormatting>
  <conditionalFormatting sqref="AH18">
    <cfRule type="expression" priority="505" dxfId="0">
      <formula>=AND(G18&lt;('تنظیمات'!$C$5+125),H18&gt;('تنظیمات'!$C$5+120),F18&gt;0)</formula>
    </cfRule>
  </conditionalFormatting>
  <conditionalFormatting sqref="AI18">
    <cfRule type="expression" priority="506" dxfId="0">
      <formula>=AND(G18&lt;('تنظیمات'!$C$5+130),H18&gt;('تنظیمات'!$C$5+125),F18&gt;0)</formula>
    </cfRule>
  </conditionalFormatting>
  <conditionalFormatting sqref="AJ18">
    <cfRule type="expression" priority="507" dxfId="0">
      <formula>=AND(G18&lt;('تنظیمات'!$C$5+135),H18&gt;('تنظیمات'!$C$5+130),F18&gt;0)</formula>
    </cfRule>
  </conditionalFormatting>
  <conditionalFormatting sqref="AK18">
    <cfRule type="expression" priority="508" dxfId="0">
      <formula>=AND(G18&lt;('تنظیمات'!$C$5+140),H18&gt;('تنظیمات'!$C$5+135),F18&gt;0)</formula>
    </cfRule>
  </conditionalFormatting>
  <conditionalFormatting sqref="AL18">
    <cfRule type="expression" priority="509" dxfId="0">
      <formula>=AND(G18&lt;('تنظیمات'!$C$5+145),H18&gt;('تنظیمات'!$C$5+140),F18&gt;0)</formula>
    </cfRule>
  </conditionalFormatting>
  <conditionalFormatting sqref="AM18">
    <cfRule type="expression" priority="510" dxfId="0">
      <formula>=AND(G18&lt;('تنظیمات'!$C$5+150),H18&gt;('تنظیمات'!$C$5+145),F18&gt;0)</formula>
    </cfRule>
  </conditionalFormatting>
  <conditionalFormatting sqref="AN18">
    <cfRule type="expression" priority="511" dxfId="0">
      <formula>=AND(G18&lt;('تنظیمات'!$C$5+155),H18&gt;('تنظیمات'!$C$5+150),F18&gt;0)</formula>
    </cfRule>
  </conditionalFormatting>
  <conditionalFormatting sqref="AO18">
    <cfRule type="expression" priority="512" dxfId="0">
      <formula>=AND(G18&lt;('تنظیمات'!$C$5+160),H18&gt;('تنظیمات'!$C$5+155),F18&gt;0)</formula>
    </cfRule>
  </conditionalFormatting>
  <conditionalFormatting sqref="AP18">
    <cfRule type="expression" priority="513" dxfId="0">
      <formula>=AND(G18&lt;('تنظیمات'!$C$5+165),H18&gt;('تنظیمات'!$C$5+160),F18&gt;0)</formula>
    </cfRule>
  </conditionalFormatting>
  <conditionalFormatting sqref="AQ18">
    <cfRule type="expression" priority="514" dxfId="0">
      <formula>=AND(G18&lt;('تنظیمات'!$C$5+170),H18&gt;('تنظیمات'!$C$5+165),F18&gt;0)</formula>
    </cfRule>
  </conditionalFormatting>
  <conditionalFormatting sqref="AR18">
    <cfRule type="expression" priority="515" dxfId="0">
      <formula>=AND(G18&lt;('تنظیمات'!$C$5+175),H18&gt;('تنظیمات'!$C$5+170),F18&gt;0)</formula>
    </cfRule>
  </conditionalFormatting>
  <conditionalFormatting sqref="AS18">
    <cfRule type="expression" priority="516" dxfId="0">
      <formula>=AND(G18&lt;('تنظیمات'!$C$5+180),H18&gt;('تنظیمات'!$C$5+175),F18&gt;0)</formula>
    </cfRule>
  </conditionalFormatting>
  <conditionalFormatting sqref="AT18">
    <cfRule type="expression" priority="517" dxfId="0">
      <formula>=AND(G18&lt;('تنظیمات'!$C$5+185),H18&gt;('تنظیمات'!$C$5+180),F18&gt;0)</formula>
    </cfRule>
  </conditionalFormatting>
  <conditionalFormatting sqref="AU18">
    <cfRule type="expression" priority="518" dxfId="0">
      <formula>=AND(G18&lt;('تنظیمات'!$C$5+190),H18&gt;('تنظیمات'!$C$5+185),F18&gt;0)</formula>
    </cfRule>
  </conditionalFormatting>
  <conditionalFormatting sqref="AV18">
    <cfRule type="expression" priority="519" dxfId="0">
      <formula>=AND(G18&lt;('تنظیمات'!$C$5+195),H18&gt;('تنظیمات'!$C$5+190),F18&gt;0)</formula>
    </cfRule>
  </conditionalFormatting>
  <conditionalFormatting sqref="AW18">
    <cfRule type="expression" priority="520" dxfId="0">
      <formula>=AND(G18&lt;('تنظیمات'!$C$5+200),H18&gt;('تنظیمات'!$C$5+195),F18&gt;0)</formula>
    </cfRule>
  </conditionalFormatting>
  <conditionalFormatting sqref="J19">
    <cfRule type="expression" priority="521" dxfId="0">
      <formula>=AND(G19&lt;('تنظیمات'!$C$5+5),H19&gt;('تنظیمات'!$C$5+0),F19&gt;0)</formula>
    </cfRule>
  </conditionalFormatting>
  <conditionalFormatting sqref="K19">
    <cfRule type="expression" priority="522" dxfId="0">
      <formula>=AND(G19&lt;('تنظیمات'!$C$5+10),H19&gt;('تنظیمات'!$C$5+5),F19&gt;0)</formula>
    </cfRule>
  </conditionalFormatting>
  <conditionalFormatting sqref="L19">
    <cfRule type="expression" priority="523" dxfId="0">
      <formula>=AND(G19&lt;('تنظیمات'!$C$5+15),H19&gt;('تنظیمات'!$C$5+10),F19&gt;0)</formula>
    </cfRule>
  </conditionalFormatting>
  <conditionalFormatting sqref="M19">
    <cfRule type="expression" priority="524" dxfId="0">
      <formula>=AND(G19&lt;('تنظیمات'!$C$5+20),H19&gt;('تنظیمات'!$C$5+15),F19&gt;0)</formula>
    </cfRule>
  </conditionalFormatting>
  <conditionalFormatting sqref="N19">
    <cfRule type="expression" priority="525" dxfId="0">
      <formula>=AND(G19&lt;('تنظیمات'!$C$5+25),H19&gt;('تنظیمات'!$C$5+20),F19&gt;0)</formula>
    </cfRule>
  </conditionalFormatting>
  <conditionalFormatting sqref="O19">
    <cfRule type="expression" priority="526" dxfId="0">
      <formula>=AND(G19&lt;('تنظیمات'!$C$5+30),H19&gt;('تنظیمات'!$C$5+25),F19&gt;0)</formula>
    </cfRule>
  </conditionalFormatting>
  <conditionalFormatting sqref="P19">
    <cfRule type="expression" priority="527" dxfId="0">
      <formula>=AND(G19&lt;('تنظیمات'!$C$5+35),H19&gt;('تنظیمات'!$C$5+30),F19&gt;0)</formula>
    </cfRule>
  </conditionalFormatting>
  <conditionalFormatting sqref="Q19">
    <cfRule type="expression" priority="528" dxfId="0">
      <formula>=AND(G19&lt;('تنظیمات'!$C$5+40),H19&gt;('تنظیمات'!$C$5+35),F19&gt;0)</formula>
    </cfRule>
  </conditionalFormatting>
  <conditionalFormatting sqref="R19">
    <cfRule type="expression" priority="529" dxfId="0">
      <formula>=AND(G19&lt;('تنظیمات'!$C$5+45),H19&gt;('تنظیمات'!$C$5+40),F19&gt;0)</formula>
    </cfRule>
  </conditionalFormatting>
  <conditionalFormatting sqref="S19">
    <cfRule type="expression" priority="530" dxfId="0">
      <formula>=AND(G19&lt;('تنظیمات'!$C$5+50),H19&gt;('تنظیمات'!$C$5+45),F19&gt;0)</formula>
    </cfRule>
  </conditionalFormatting>
  <conditionalFormatting sqref="T19">
    <cfRule type="expression" priority="531" dxfId="0">
      <formula>=AND(G19&lt;('تنظیمات'!$C$5+55),H19&gt;('تنظیمات'!$C$5+50),F19&gt;0)</formula>
    </cfRule>
  </conditionalFormatting>
  <conditionalFormatting sqref="U19">
    <cfRule type="expression" priority="532" dxfId="0">
      <formula>=AND(G19&lt;('تنظیمات'!$C$5+60),H19&gt;('تنظیمات'!$C$5+55),F19&gt;0)</formula>
    </cfRule>
  </conditionalFormatting>
  <conditionalFormatting sqref="V19">
    <cfRule type="expression" priority="533" dxfId="0">
      <formula>=AND(G19&lt;('تنظیمات'!$C$5+65),H19&gt;('تنظیمات'!$C$5+60),F19&gt;0)</formula>
    </cfRule>
  </conditionalFormatting>
  <conditionalFormatting sqref="W19">
    <cfRule type="expression" priority="534" dxfId="0">
      <formula>=AND(G19&lt;('تنظیمات'!$C$5+70),H19&gt;('تنظیمات'!$C$5+65),F19&gt;0)</formula>
    </cfRule>
  </conditionalFormatting>
  <conditionalFormatting sqref="X19">
    <cfRule type="expression" priority="535" dxfId="0">
      <formula>=AND(G19&lt;('تنظیمات'!$C$5+75),H19&gt;('تنظیمات'!$C$5+70),F19&gt;0)</formula>
    </cfRule>
  </conditionalFormatting>
  <conditionalFormatting sqref="Y19">
    <cfRule type="expression" priority="536" dxfId="0">
      <formula>=AND(G19&lt;('تنظیمات'!$C$5+80),H19&gt;('تنظیمات'!$C$5+75),F19&gt;0)</formula>
    </cfRule>
  </conditionalFormatting>
  <conditionalFormatting sqref="Z19">
    <cfRule type="expression" priority="537" dxfId="0">
      <formula>=AND(G19&lt;('تنظیمات'!$C$5+85),H19&gt;('تنظیمات'!$C$5+80),F19&gt;0)</formula>
    </cfRule>
  </conditionalFormatting>
  <conditionalFormatting sqref="AA19">
    <cfRule type="expression" priority="538" dxfId="0">
      <formula>=AND(G19&lt;('تنظیمات'!$C$5+90),H19&gt;('تنظیمات'!$C$5+85),F19&gt;0)</formula>
    </cfRule>
  </conditionalFormatting>
  <conditionalFormatting sqref="AB19">
    <cfRule type="expression" priority="539" dxfId="0">
      <formula>=AND(G19&lt;('تنظیمات'!$C$5+95),H19&gt;('تنظیمات'!$C$5+90),F19&gt;0)</formula>
    </cfRule>
  </conditionalFormatting>
  <conditionalFormatting sqref="AC19">
    <cfRule type="expression" priority="540" dxfId="0">
      <formula>=AND(G19&lt;('تنظیمات'!$C$5+100),H19&gt;('تنظیمات'!$C$5+95),F19&gt;0)</formula>
    </cfRule>
  </conditionalFormatting>
  <conditionalFormatting sqref="AD19">
    <cfRule type="expression" priority="541" dxfId="0">
      <formula>=AND(G19&lt;('تنظیمات'!$C$5+105),H19&gt;('تنظیمات'!$C$5+100),F19&gt;0)</formula>
    </cfRule>
  </conditionalFormatting>
  <conditionalFormatting sqref="AE19">
    <cfRule type="expression" priority="542" dxfId="0">
      <formula>=AND(G19&lt;('تنظیمات'!$C$5+110),H19&gt;('تنظیمات'!$C$5+105),F19&gt;0)</formula>
    </cfRule>
  </conditionalFormatting>
  <conditionalFormatting sqref="AF19">
    <cfRule type="expression" priority="543" dxfId="0">
      <formula>=AND(G19&lt;('تنظیمات'!$C$5+115),H19&gt;('تنظیمات'!$C$5+110),F19&gt;0)</formula>
    </cfRule>
  </conditionalFormatting>
  <conditionalFormatting sqref="AG19">
    <cfRule type="expression" priority="544" dxfId="0">
      <formula>=AND(G19&lt;('تنظیمات'!$C$5+120),H19&gt;('تنظیمات'!$C$5+115),F19&gt;0)</formula>
    </cfRule>
  </conditionalFormatting>
  <conditionalFormatting sqref="AH19">
    <cfRule type="expression" priority="545" dxfId="0">
      <formula>=AND(G19&lt;('تنظیمات'!$C$5+125),H19&gt;('تنظیمات'!$C$5+120),F19&gt;0)</formula>
    </cfRule>
  </conditionalFormatting>
  <conditionalFormatting sqref="AI19">
    <cfRule type="expression" priority="546" dxfId="0">
      <formula>=AND(G19&lt;('تنظیمات'!$C$5+130),H19&gt;('تنظیمات'!$C$5+125),F19&gt;0)</formula>
    </cfRule>
  </conditionalFormatting>
  <conditionalFormatting sqref="AJ19">
    <cfRule type="expression" priority="547" dxfId="0">
      <formula>=AND(G19&lt;('تنظیمات'!$C$5+135),H19&gt;('تنظیمات'!$C$5+130),F19&gt;0)</formula>
    </cfRule>
  </conditionalFormatting>
  <conditionalFormatting sqref="AK19">
    <cfRule type="expression" priority="548" dxfId="0">
      <formula>=AND(G19&lt;('تنظیمات'!$C$5+140),H19&gt;('تنظیمات'!$C$5+135),F19&gt;0)</formula>
    </cfRule>
  </conditionalFormatting>
  <conditionalFormatting sqref="AL19">
    <cfRule type="expression" priority="549" dxfId="0">
      <formula>=AND(G19&lt;('تنظیمات'!$C$5+145),H19&gt;('تنظیمات'!$C$5+140),F19&gt;0)</formula>
    </cfRule>
  </conditionalFormatting>
  <conditionalFormatting sqref="AM19">
    <cfRule type="expression" priority="550" dxfId="0">
      <formula>=AND(G19&lt;('تنظیمات'!$C$5+150),H19&gt;('تنظیمات'!$C$5+145),F19&gt;0)</formula>
    </cfRule>
  </conditionalFormatting>
  <conditionalFormatting sqref="AN19">
    <cfRule type="expression" priority="551" dxfId="0">
      <formula>=AND(G19&lt;('تنظیمات'!$C$5+155),H19&gt;('تنظیمات'!$C$5+150),F19&gt;0)</formula>
    </cfRule>
  </conditionalFormatting>
  <conditionalFormatting sqref="AO19">
    <cfRule type="expression" priority="552" dxfId="0">
      <formula>=AND(G19&lt;('تنظیمات'!$C$5+160),H19&gt;('تنظیمات'!$C$5+155),F19&gt;0)</formula>
    </cfRule>
  </conditionalFormatting>
  <conditionalFormatting sqref="AP19">
    <cfRule type="expression" priority="553" dxfId="0">
      <formula>=AND(G19&lt;('تنظیمات'!$C$5+165),H19&gt;('تنظیمات'!$C$5+160),F19&gt;0)</formula>
    </cfRule>
  </conditionalFormatting>
  <conditionalFormatting sqref="AQ19">
    <cfRule type="expression" priority="554" dxfId="0">
      <formula>=AND(G19&lt;('تنظیمات'!$C$5+170),H19&gt;('تنظیمات'!$C$5+165),F19&gt;0)</formula>
    </cfRule>
  </conditionalFormatting>
  <conditionalFormatting sqref="AR19">
    <cfRule type="expression" priority="555" dxfId="0">
      <formula>=AND(G19&lt;('تنظیمات'!$C$5+175),H19&gt;('تنظیمات'!$C$5+170),F19&gt;0)</formula>
    </cfRule>
  </conditionalFormatting>
  <conditionalFormatting sqref="AS19">
    <cfRule type="expression" priority="556" dxfId="0">
      <formula>=AND(G19&lt;('تنظیمات'!$C$5+180),H19&gt;('تنظیمات'!$C$5+175),F19&gt;0)</formula>
    </cfRule>
  </conditionalFormatting>
  <conditionalFormatting sqref="AT19">
    <cfRule type="expression" priority="557" dxfId="0">
      <formula>=AND(G19&lt;('تنظیمات'!$C$5+185),H19&gt;('تنظیمات'!$C$5+180),F19&gt;0)</formula>
    </cfRule>
  </conditionalFormatting>
  <conditionalFormatting sqref="AU19">
    <cfRule type="expression" priority="558" dxfId="0">
      <formula>=AND(G19&lt;('تنظیمات'!$C$5+190),H19&gt;('تنظیمات'!$C$5+185),F19&gt;0)</formula>
    </cfRule>
  </conditionalFormatting>
  <conditionalFormatting sqref="AV19">
    <cfRule type="expression" priority="559" dxfId="0">
      <formula>=AND(G19&lt;('تنظیمات'!$C$5+195),H19&gt;('تنظیمات'!$C$5+190),F19&gt;0)</formula>
    </cfRule>
  </conditionalFormatting>
  <conditionalFormatting sqref="AW19">
    <cfRule type="expression" priority="560" dxfId="0">
      <formula>=AND(G19&lt;('تنظیمات'!$C$5+200),H19&gt;('تنظیمات'!$C$5+195),F19&gt;0)</formula>
    </cfRule>
  </conditionalFormatting>
  <conditionalFormatting sqref="J20">
    <cfRule type="expression" priority="561" dxfId="0">
      <formula>=AND(G20&lt;('تنظیمات'!$C$5+5),H20&gt;('تنظیمات'!$C$5+0),F20&gt;0)</formula>
    </cfRule>
  </conditionalFormatting>
  <conditionalFormatting sqref="K20">
    <cfRule type="expression" priority="562" dxfId="0">
      <formula>=AND(G20&lt;('تنظیمات'!$C$5+10),H20&gt;('تنظیمات'!$C$5+5),F20&gt;0)</formula>
    </cfRule>
  </conditionalFormatting>
  <conditionalFormatting sqref="L20">
    <cfRule type="expression" priority="563" dxfId="0">
      <formula>=AND(G20&lt;('تنظیمات'!$C$5+15),H20&gt;('تنظیمات'!$C$5+10),F20&gt;0)</formula>
    </cfRule>
  </conditionalFormatting>
  <conditionalFormatting sqref="M20">
    <cfRule type="expression" priority="564" dxfId="0">
      <formula>=AND(G20&lt;('تنظیمات'!$C$5+20),H20&gt;('تنظیمات'!$C$5+15),F20&gt;0)</formula>
    </cfRule>
  </conditionalFormatting>
  <conditionalFormatting sqref="N20">
    <cfRule type="expression" priority="565" dxfId="0">
      <formula>=AND(G20&lt;('تنظیمات'!$C$5+25),H20&gt;('تنظیمات'!$C$5+20),F20&gt;0)</formula>
    </cfRule>
  </conditionalFormatting>
  <conditionalFormatting sqref="O20">
    <cfRule type="expression" priority="566" dxfId="0">
      <formula>=AND(G20&lt;('تنظیمات'!$C$5+30),H20&gt;('تنظیمات'!$C$5+25),F20&gt;0)</formula>
    </cfRule>
  </conditionalFormatting>
  <conditionalFormatting sqref="P20">
    <cfRule type="expression" priority="567" dxfId="0">
      <formula>=AND(G20&lt;('تنظیمات'!$C$5+35),H20&gt;('تنظیمات'!$C$5+30),F20&gt;0)</formula>
    </cfRule>
  </conditionalFormatting>
  <conditionalFormatting sqref="Q20">
    <cfRule type="expression" priority="568" dxfId="0">
      <formula>=AND(G20&lt;('تنظیمات'!$C$5+40),H20&gt;('تنظیمات'!$C$5+35),F20&gt;0)</formula>
    </cfRule>
  </conditionalFormatting>
  <conditionalFormatting sqref="R20">
    <cfRule type="expression" priority="569" dxfId="0">
      <formula>=AND(G20&lt;('تنظیمات'!$C$5+45),H20&gt;('تنظیمات'!$C$5+40),F20&gt;0)</formula>
    </cfRule>
  </conditionalFormatting>
  <conditionalFormatting sqref="S20">
    <cfRule type="expression" priority="570" dxfId="0">
      <formula>=AND(G20&lt;('تنظیمات'!$C$5+50),H20&gt;('تنظیمات'!$C$5+45),F20&gt;0)</formula>
    </cfRule>
  </conditionalFormatting>
  <conditionalFormatting sqref="T20">
    <cfRule type="expression" priority="571" dxfId="0">
      <formula>=AND(G20&lt;('تنظیمات'!$C$5+55),H20&gt;('تنظیمات'!$C$5+50),F20&gt;0)</formula>
    </cfRule>
  </conditionalFormatting>
  <conditionalFormatting sqref="U20">
    <cfRule type="expression" priority="572" dxfId="0">
      <formula>=AND(G20&lt;('تنظیمات'!$C$5+60),H20&gt;('تنظیمات'!$C$5+55),F20&gt;0)</formula>
    </cfRule>
  </conditionalFormatting>
  <conditionalFormatting sqref="V20">
    <cfRule type="expression" priority="573" dxfId="0">
      <formula>=AND(G20&lt;('تنظیمات'!$C$5+65),H20&gt;('تنظیمات'!$C$5+60),F20&gt;0)</formula>
    </cfRule>
  </conditionalFormatting>
  <conditionalFormatting sqref="W20">
    <cfRule type="expression" priority="574" dxfId="0">
      <formula>=AND(G20&lt;('تنظیمات'!$C$5+70),H20&gt;('تنظیمات'!$C$5+65),F20&gt;0)</formula>
    </cfRule>
  </conditionalFormatting>
  <conditionalFormatting sqref="X20">
    <cfRule type="expression" priority="575" dxfId="0">
      <formula>=AND(G20&lt;('تنظیمات'!$C$5+75),H20&gt;('تنظیمات'!$C$5+70),F20&gt;0)</formula>
    </cfRule>
  </conditionalFormatting>
  <conditionalFormatting sqref="Y20">
    <cfRule type="expression" priority="576" dxfId="0">
      <formula>=AND(G20&lt;('تنظیمات'!$C$5+80),H20&gt;('تنظیمات'!$C$5+75),F20&gt;0)</formula>
    </cfRule>
  </conditionalFormatting>
  <conditionalFormatting sqref="Z20">
    <cfRule type="expression" priority="577" dxfId="0">
      <formula>=AND(G20&lt;('تنظیمات'!$C$5+85),H20&gt;('تنظیمات'!$C$5+80),F20&gt;0)</formula>
    </cfRule>
  </conditionalFormatting>
  <conditionalFormatting sqref="AA20">
    <cfRule type="expression" priority="578" dxfId="0">
      <formula>=AND(G20&lt;('تنظیمات'!$C$5+90),H20&gt;('تنظیمات'!$C$5+85),F20&gt;0)</formula>
    </cfRule>
  </conditionalFormatting>
  <conditionalFormatting sqref="AB20">
    <cfRule type="expression" priority="579" dxfId="0">
      <formula>=AND(G20&lt;('تنظیمات'!$C$5+95),H20&gt;('تنظیمات'!$C$5+90),F20&gt;0)</formula>
    </cfRule>
  </conditionalFormatting>
  <conditionalFormatting sqref="AC20">
    <cfRule type="expression" priority="580" dxfId="0">
      <formula>=AND(G20&lt;('تنظیمات'!$C$5+100),H20&gt;('تنظیمات'!$C$5+95),F20&gt;0)</formula>
    </cfRule>
  </conditionalFormatting>
  <conditionalFormatting sqref="AD20">
    <cfRule type="expression" priority="581" dxfId="0">
      <formula>=AND(G20&lt;('تنظیمات'!$C$5+105),H20&gt;('تنظیمات'!$C$5+100),F20&gt;0)</formula>
    </cfRule>
  </conditionalFormatting>
  <conditionalFormatting sqref="AE20">
    <cfRule type="expression" priority="582" dxfId="0">
      <formula>=AND(G20&lt;('تنظیمات'!$C$5+110),H20&gt;('تنظیمات'!$C$5+105),F20&gt;0)</formula>
    </cfRule>
  </conditionalFormatting>
  <conditionalFormatting sqref="AF20">
    <cfRule type="expression" priority="583" dxfId="0">
      <formula>=AND(G20&lt;('تنظیمات'!$C$5+115),H20&gt;('تنظیمات'!$C$5+110),F20&gt;0)</formula>
    </cfRule>
  </conditionalFormatting>
  <conditionalFormatting sqref="AG20">
    <cfRule type="expression" priority="584" dxfId="0">
      <formula>=AND(G20&lt;('تنظیمات'!$C$5+120),H20&gt;('تنظیمات'!$C$5+115),F20&gt;0)</formula>
    </cfRule>
  </conditionalFormatting>
  <conditionalFormatting sqref="AH20">
    <cfRule type="expression" priority="585" dxfId="0">
      <formula>=AND(G20&lt;('تنظیمات'!$C$5+125),H20&gt;('تنظیمات'!$C$5+120),F20&gt;0)</formula>
    </cfRule>
  </conditionalFormatting>
  <conditionalFormatting sqref="AI20">
    <cfRule type="expression" priority="586" dxfId="0">
      <formula>=AND(G20&lt;('تنظیمات'!$C$5+130),H20&gt;('تنظیمات'!$C$5+125),F20&gt;0)</formula>
    </cfRule>
  </conditionalFormatting>
  <conditionalFormatting sqref="AJ20">
    <cfRule type="expression" priority="587" dxfId="0">
      <formula>=AND(G20&lt;('تنظیمات'!$C$5+135),H20&gt;('تنظیمات'!$C$5+130),F20&gt;0)</formula>
    </cfRule>
  </conditionalFormatting>
  <conditionalFormatting sqref="AK20">
    <cfRule type="expression" priority="588" dxfId="0">
      <formula>=AND(G20&lt;('تنظیمات'!$C$5+140),H20&gt;('تنظیمات'!$C$5+135),F20&gt;0)</formula>
    </cfRule>
  </conditionalFormatting>
  <conditionalFormatting sqref="AL20">
    <cfRule type="expression" priority="589" dxfId="0">
      <formula>=AND(G20&lt;('تنظیمات'!$C$5+145),H20&gt;('تنظیمات'!$C$5+140),F20&gt;0)</formula>
    </cfRule>
  </conditionalFormatting>
  <conditionalFormatting sqref="AM20">
    <cfRule type="expression" priority="590" dxfId="0">
      <formula>=AND(G20&lt;('تنظیمات'!$C$5+150),H20&gt;('تنظیمات'!$C$5+145),F20&gt;0)</formula>
    </cfRule>
  </conditionalFormatting>
  <conditionalFormatting sqref="AN20">
    <cfRule type="expression" priority="591" dxfId="0">
      <formula>=AND(G20&lt;('تنظیمات'!$C$5+155),H20&gt;('تنظیمات'!$C$5+150),F20&gt;0)</formula>
    </cfRule>
  </conditionalFormatting>
  <conditionalFormatting sqref="AO20">
    <cfRule type="expression" priority="592" dxfId="0">
      <formula>=AND(G20&lt;('تنظیمات'!$C$5+160),H20&gt;('تنظیمات'!$C$5+155),F20&gt;0)</formula>
    </cfRule>
  </conditionalFormatting>
  <conditionalFormatting sqref="AP20">
    <cfRule type="expression" priority="593" dxfId="0">
      <formula>=AND(G20&lt;('تنظیمات'!$C$5+165),H20&gt;('تنظیمات'!$C$5+160),F20&gt;0)</formula>
    </cfRule>
  </conditionalFormatting>
  <conditionalFormatting sqref="AQ20">
    <cfRule type="expression" priority="594" dxfId="0">
      <formula>=AND(G20&lt;('تنظیمات'!$C$5+170),H20&gt;('تنظیمات'!$C$5+165),F20&gt;0)</formula>
    </cfRule>
  </conditionalFormatting>
  <conditionalFormatting sqref="AR20">
    <cfRule type="expression" priority="595" dxfId="0">
      <formula>=AND(G20&lt;('تنظیمات'!$C$5+175),H20&gt;('تنظیمات'!$C$5+170),F20&gt;0)</formula>
    </cfRule>
  </conditionalFormatting>
  <conditionalFormatting sqref="AS20">
    <cfRule type="expression" priority="596" dxfId="0">
      <formula>=AND(G20&lt;('تنظیمات'!$C$5+180),H20&gt;('تنظیمات'!$C$5+175),F20&gt;0)</formula>
    </cfRule>
  </conditionalFormatting>
  <conditionalFormatting sqref="AT20">
    <cfRule type="expression" priority="597" dxfId="0">
      <formula>=AND(G20&lt;('تنظیمات'!$C$5+185),H20&gt;('تنظیمات'!$C$5+180),F20&gt;0)</formula>
    </cfRule>
  </conditionalFormatting>
  <conditionalFormatting sqref="AU20">
    <cfRule type="expression" priority="598" dxfId="0">
      <formula>=AND(G20&lt;('تنظیمات'!$C$5+190),H20&gt;('تنظیمات'!$C$5+185),F20&gt;0)</formula>
    </cfRule>
  </conditionalFormatting>
  <conditionalFormatting sqref="AV20">
    <cfRule type="expression" priority="599" dxfId="0">
      <formula>=AND(G20&lt;('تنظیمات'!$C$5+195),H20&gt;('تنظیمات'!$C$5+190),F20&gt;0)</formula>
    </cfRule>
  </conditionalFormatting>
  <conditionalFormatting sqref="AW20">
    <cfRule type="expression" priority="600" dxfId="0">
      <formula>=AND(G20&lt;('تنظیمات'!$C$5+200),H20&gt;('تنظیمات'!$C$5+195),F20&gt;0)</formula>
    </cfRule>
  </conditionalFormatting>
  <conditionalFormatting sqref="J21">
    <cfRule type="expression" priority="601" dxfId="0">
      <formula>=AND(G21&lt;('تنظیمات'!$C$5+5),H21&gt;('تنظیمات'!$C$5+0),F21&gt;0)</formula>
    </cfRule>
  </conditionalFormatting>
  <conditionalFormatting sqref="K21">
    <cfRule type="expression" priority="602" dxfId="0">
      <formula>=AND(G21&lt;('تنظیمات'!$C$5+10),H21&gt;('تنظیمات'!$C$5+5),F21&gt;0)</formula>
    </cfRule>
  </conditionalFormatting>
  <conditionalFormatting sqref="L21">
    <cfRule type="expression" priority="603" dxfId="0">
      <formula>=AND(G21&lt;('تنظیمات'!$C$5+15),H21&gt;('تنظیمات'!$C$5+10),F21&gt;0)</formula>
    </cfRule>
  </conditionalFormatting>
  <conditionalFormatting sqref="M21">
    <cfRule type="expression" priority="604" dxfId="0">
      <formula>=AND(G21&lt;('تنظیمات'!$C$5+20),H21&gt;('تنظیمات'!$C$5+15),F21&gt;0)</formula>
    </cfRule>
  </conditionalFormatting>
  <conditionalFormatting sqref="N21">
    <cfRule type="expression" priority="605" dxfId="0">
      <formula>=AND(G21&lt;('تنظیمات'!$C$5+25),H21&gt;('تنظیمات'!$C$5+20),F21&gt;0)</formula>
    </cfRule>
  </conditionalFormatting>
  <conditionalFormatting sqref="O21">
    <cfRule type="expression" priority="606" dxfId="0">
      <formula>=AND(G21&lt;('تنظیمات'!$C$5+30),H21&gt;('تنظیمات'!$C$5+25),F21&gt;0)</formula>
    </cfRule>
  </conditionalFormatting>
  <conditionalFormatting sqref="P21">
    <cfRule type="expression" priority="607" dxfId="0">
      <formula>=AND(G21&lt;('تنظیمات'!$C$5+35),H21&gt;('تنظیمات'!$C$5+30),F21&gt;0)</formula>
    </cfRule>
  </conditionalFormatting>
  <conditionalFormatting sqref="Q21">
    <cfRule type="expression" priority="608" dxfId="0">
      <formula>=AND(G21&lt;('تنظیمات'!$C$5+40),H21&gt;('تنظیمات'!$C$5+35),F21&gt;0)</formula>
    </cfRule>
  </conditionalFormatting>
  <conditionalFormatting sqref="R21">
    <cfRule type="expression" priority="609" dxfId="0">
      <formula>=AND(G21&lt;('تنظیمات'!$C$5+45),H21&gt;('تنظیمات'!$C$5+40),F21&gt;0)</formula>
    </cfRule>
  </conditionalFormatting>
  <conditionalFormatting sqref="S21">
    <cfRule type="expression" priority="610" dxfId="0">
      <formula>=AND(G21&lt;('تنظیمات'!$C$5+50),H21&gt;('تنظیمات'!$C$5+45),F21&gt;0)</formula>
    </cfRule>
  </conditionalFormatting>
  <conditionalFormatting sqref="T21">
    <cfRule type="expression" priority="611" dxfId="0">
      <formula>=AND(G21&lt;('تنظیمات'!$C$5+55),H21&gt;('تنظیمات'!$C$5+50),F21&gt;0)</formula>
    </cfRule>
  </conditionalFormatting>
  <conditionalFormatting sqref="U21">
    <cfRule type="expression" priority="612" dxfId="0">
      <formula>=AND(G21&lt;('تنظیمات'!$C$5+60),H21&gt;('تنظیمات'!$C$5+55),F21&gt;0)</formula>
    </cfRule>
  </conditionalFormatting>
  <conditionalFormatting sqref="V21">
    <cfRule type="expression" priority="613" dxfId="0">
      <formula>=AND(G21&lt;('تنظیمات'!$C$5+65),H21&gt;('تنظیمات'!$C$5+60),F21&gt;0)</formula>
    </cfRule>
  </conditionalFormatting>
  <conditionalFormatting sqref="W21">
    <cfRule type="expression" priority="614" dxfId="0">
      <formula>=AND(G21&lt;('تنظیمات'!$C$5+70),H21&gt;('تنظیمات'!$C$5+65),F21&gt;0)</formula>
    </cfRule>
  </conditionalFormatting>
  <conditionalFormatting sqref="X21">
    <cfRule type="expression" priority="615" dxfId="0">
      <formula>=AND(G21&lt;('تنظیمات'!$C$5+75),H21&gt;('تنظیمات'!$C$5+70),F21&gt;0)</formula>
    </cfRule>
  </conditionalFormatting>
  <conditionalFormatting sqref="Y21">
    <cfRule type="expression" priority="616" dxfId="0">
      <formula>=AND(G21&lt;('تنظیمات'!$C$5+80),H21&gt;('تنظیمات'!$C$5+75),F21&gt;0)</formula>
    </cfRule>
  </conditionalFormatting>
  <conditionalFormatting sqref="Z21">
    <cfRule type="expression" priority="617" dxfId="0">
      <formula>=AND(G21&lt;('تنظیمات'!$C$5+85),H21&gt;('تنظیمات'!$C$5+80),F21&gt;0)</formula>
    </cfRule>
  </conditionalFormatting>
  <conditionalFormatting sqref="AA21">
    <cfRule type="expression" priority="618" dxfId="0">
      <formula>=AND(G21&lt;('تنظیمات'!$C$5+90),H21&gt;('تنظیمات'!$C$5+85),F21&gt;0)</formula>
    </cfRule>
  </conditionalFormatting>
  <conditionalFormatting sqref="AB21">
    <cfRule type="expression" priority="619" dxfId="0">
      <formula>=AND(G21&lt;('تنظیمات'!$C$5+95),H21&gt;('تنظیمات'!$C$5+90),F21&gt;0)</formula>
    </cfRule>
  </conditionalFormatting>
  <conditionalFormatting sqref="AC21">
    <cfRule type="expression" priority="620" dxfId="0">
      <formula>=AND(G21&lt;('تنظیمات'!$C$5+100),H21&gt;('تنظیمات'!$C$5+95),F21&gt;0)</formula>
    </cfRule>
  </conditionalFormatting>
  <conditionalFormatting sqref="AD21">
    <cfRule type="expression" priority="621" dxfId="0">
      <formula>=AND(G21&lt;('تنظیمات'!$C$5+105),H21&gt;('تنظیمات'!$C$5+100),F21&gt;0)</formula>
    </cfRule>
  </conditionalFormatting>
  <conditionalFormatting sqref="AE21">
    <cfRule type="expression" priority="622" dxfId="0">
      <formula>=AND(G21&lt;('تنظیمات'!$C$5+110),H21&gt;('تنظیمات'!$C$5+105),F21&gt;0)</formula>
    </cfRule>
  </conditionalFormatting>
  <conditionalFormatting sqref="AF21">
    <cfRule type="expression" priority="623" dxfId="0">
      <formula>=AND(G21&lt;('تنظیمات'!$C$5+115),H21&gt;('تنظیمات'!$C$5+110),F21&gt;0)</formula>
    </cfRule>
  </conditionalFormatting>
  <conditionalFormatting sqref="AG21">
    <cfRule type="expression" priority="624" dxfId="0">
      <formula>=AND(G21&lt;('تنظیمات'!$C$5+120),H21&gt;('تنظیمات'!$C$5+115),F21&gt;0)</formula>
    </cfRule>
  </conditionalFormatting>
  <conditionalFormatting sqref="AH21">
    <cfRule type="expression" priority="625" dxfId="0">
      <formula>=AND(G21&lt;('تنظیمات'!$C$5+125),H21&gt;('تنظیمات'!$C$5+120),F21&gt;0)</formula>
    </cfRule>
  </conditionalFormatting>
  <conditionalFormatting sqref="AI21">
    <cfRule type="expression" priority="626" dxfId="0">
      <formula>=AND(G21&lt;('تنظیمات'!$C$5+130),H21&gt;('تنظیمات'!$C$5+125),F21&gt;0)</formula>
    </cfRule>
  </conditionalFormatting>
  <conditionalFormatting sqref="AJ21">
    <cfRule type="expression" priority="627" dxfId="0">
      <formula>=AND(G21&lt;('تنظیمات'!$C$5+135),H21&gt;('تنظیمات'!$C$5+130),F21&gt;0)</formula>
    </cfRule>
  </conditionalFormatting>
  <conditionalFormatting sqref="AK21">
    <cfRule type="expression" priority="628" dxfId="0">
      <formula>=AND(G21&lt;('تنظیمات'!$C$5+140),H21&gt;('تنظیمات'!$C$5+135),F21&gt;0)</formula>
    </cfRule>
  </conditionalFormatting>
  <conditionalFormatting sqref="AL21">
    <cfRule type="expression" priority="629" dxfId="0">
      <formula>=AND(G21&lt;('تنظیمات'!$C$5+145),H21&gt;('تنظیمات'!$C$5+140),F21&gt;0)</formula>
    </cfRule>
  </conditionalFormatting>
  <conditionalFormatting sqref="AM21">
    <cfRule type="expression" priority="630" dxfId="0">
      <formula>=AND(G21&lt;('تنظیمات'!$C$5+150),H21&gt;('تنظیمات'!$C$5+145),F21&gt;0)</formula>
    </cfRule>
  </conditionalFormatting>
  <conditionalFormatting sqref="AN21">
    <cfRule type="expression" priority="631" dxfId="0">
      <formula>=AND(G21&lt;('تنظیمات'!$C$5+155),H21&gt;('تنظیمات'!$C$5+150),F21&gt;0)</formula>
    </cfRule>
  </conditionalFormatting>
  <conditionalFormatting sqref="AO21">
    <cfRule type="expression" priority="632" dxfId="0">
      <formula>=AND(G21&lt;('تنظیمات'!$C$5+160),H21&gt;('تنظیمات'!$C$5+155),F21&gt;0)</formula>
    </cfRule>
  </conditionalFormatting>
  <conditionalFormatting sqref="AP21">
    <cfRule type="expression" priority="633" dxfId="0">
      <formula>=AND(G21&lt;('تنظیمات'!$C$5+165),H21&gt;('تنظیمات'!$C$5+160),F21&gt;0)</formula>
    </cfRule>
  </conditionalFormatting>
  <conditionalFormatting sqref="AQ21">
    <cfRule type="expression" priority="634" dxfId="0">
      <formula>=AND(G21&lt;('تنظیمات'!$C$5+170),H21&gt;('تنظیمات'!$C$5+165),F21&gt;0)</formula>
    </cfRule>
  </conditionalFormatting>
  <conditionalFormatting sqref="AR21">
    <cfRule type="expression" priority="635" dxfId="0">
      <formula>=AND(G21&lt;('تنظیمات'!$C$5+175),H21&gt;('تنظیمات'!$C$5+170),F21&gt;0)</formula>
    </cfRule>
  </conditionalFormatting>
  <conditionalFormatting sqref="AS21">
    <cfRule type="expression" priority="636" dxfId="0">
      <formula>=AND(G21&lt;('تنظیمات'!$C$5+180),H21&gt;('تنظیمات'!$C$5+175),F21&gt;0)</formula>
    </cfRule>
  </conditionalFormatting>
  <conditionalFormatting sqref="AT21">
    <cfRule type="expression" priority="637" dxfId="0">
      <formula>=AND(G21&lt;('تنظیمات'!$C$5+185),H21&gt;('تنظیمات'!$C$5+180),F21&gt;0)</formula>
    </cfRule>
  </conditionalFormatting>
  <conditionalFormatting sqref="AU21">
    <cfRule type="expression" priority="638" dxfId="0">
      <formula>=AND(G21&lt;('تنظیمات'!$C$5+190),H21&gt;('تنظیمات'!$C$5+185),F21&gt;0)</formula>
    </cfRule>
  </conditionalFormatting>
  <conditionalFormatting sqref="AV21">
    <cfRule type="expression" priority="639" dxfId="0">
      <formula>=AND(G21&lt;('تنظیمات'!$C$5+195),H21&gt;('تنظیمات'!$C$5+190),F21&gt;0)</formula>
    </cfRule>
  </conditionalFormatting>
  <conditionalFormatting sqref="AW21">
    <cfRule type="expression" priority="640" dxfId="0">
      <formula>=AND(G21&lt;('تنظیمات'!$C$5+200),H21&gt;('تنظیمات'!$C$5+195),F21&gt;0)</formula>
    </cfRule>
  </conditionalFormatting>
  <conditionalFormatting sqref="J22">
    <cfRule type="expression" priority="641" dxfId="0">
      <formula>=AND(G22&lt;('تنظیمات'!$C$5+5),H22&gt;('تنظیمات'!$C$5+0),F22&gt;0)</formula>
    </cfRule>
  </conditionalFormatting>
  <conditionalFormatting sqref="K22">
    <cfRule type="expression" priority="642" dxfId="0">
      <formula>=AND(G22&lt;('تنظیمات'!$C$5+10),H22&gt;('تنظیمات'!$C$5+5),F22&gt;0)</formula>
    </cfRule>
  </conditionalFormatting>
  <conditionalFormatting sqref="L22">
    <cfRule type="expression" priority="643" dxfId="0">
      <formula>=AND(G22&lt;('تنظیمات'!$C$5+15),H22&gt;('تنظیمات'!$C$5+10),F22&gt;0)</formula>
    </cfRule>
  </conditionalFormatting>
  <conditionalFormatting sqref="M22">
    <cfRule type="expression" priority="644" dxfId="0">
      <formula>=AND(G22&lt;('تنظیمات'!$C$5+20),H22&gt;('تنظیمات'!$C$5+15),F22&gt;0)</formula>
    </cfRule>
  </conditionalFormatting>
  <conditionalFormatting sqref="N22">
    <cfRule type="expression" priority="645" dxfId="0">
      <formula>=AND(G22&lt;('تنظیمات'!$C$5+25),H22&gt;('تنظیمات'!$C$5+20),F22&gt;0)</formula>
    </cfRule>
  </conditionalFormatting>
  <conditionalFormatting sqref="O22">
    <cfRule type="expression" priority="646" dxfId="0">
      <formula>=AND(G22&lt;('تنظیمات'!$C$5+30),H22&gt;('تنظیمات'!$C$5+25),F22&gt;0)</formula>
    </cfRule>
  </conditionalFormatting>
  <conditionalFormatting sqref="P22">
    <cfRule type="expression" priority="647" dxfId="0">
      <formula>=AND(G22&lt;('تنظیمات'!$C$5+35),H22&gt;('تنظیمات'!$C$5+30),F22&gt;0)</formula>
    </cfRule>
  </conditionalFormatting>
  <conditionalFormatting sqref="Q22">
    <cfRule type="expression" priority="648" dxfId="0">
      <formula>=AND(G22&lt;('تنظیمات'!$C$5+40),H22&gt;('تنظیمات'!$C$5+35),F22&gt;0)</formula>
    </cfRule>
  </conditionalFormatting>
  <conditionalFormatting sqref="R22">
    <cfRule type="expression" priority="649" dxfId="0">
      <formula>=AND(G22&lt;('تنظیمات'!$C$5+45),H22&gt;('تنظیمات'!$C$5+40),F22&gt;0)</formula>
    </cfRule>
  </conditionalFormatting>
  <conditionalFormatting sqref="S22">
    <cfRule type="expression" priority="650" dxfId="0">
      <formula>=AND(G22&lt;('تنظیمات'!$C$5+50),H22&gt;('تنظیمات'!$C$5+45),F22&gt;0)</formula>
    </cfRule>
  </conditionalFormatting>
  <conditionalFormatting sqref="T22">
    <cfRule type="expression" priority="651" dxfId="0">
      <formula>=AND(G22&lt;('تنظیمات'!$C$5+55),H22&gt;('تنظیمات'!$C$5+50),F22&gt;0)</formula>
    </cfRule>
  </conditionalFormatting>
  <conditionalFormatting sqref="U22">
    <cfRule type="expression" priority="652" dxfId="0">
      <formula>=AND(G22&lt;('تنظیمات'!$C$5+60),H22&gt;('تنظیمات'!$C$5+55),F22&gt;0)</formula>
    </cfRule>
  </conditionalFormatting>
  <conditionalFormatting sqref="V22">
    <cfRule type="expression" priority="653" dxfId="0">
      <formula>=AND(G22&lt;('تنظیمات'!$C$5+65),H22&gt;('تنظیمات'!$C$5+60),F22&gt;0)</formula>
    </cfRule>
  </conditionalFormatting>
  <conditionalFormatting sqref="W22">
    <cfRule type="expression" priority="654" dxfId="0">
      <formula>=AND(G22&lt;('تنظیمات'!$C$5+70),H22&gt;('تنظیمات'!$C$5+65),F22&gt;0)</formula>
    </cfRule>
  </conditionalFormatting>
  <conditionalFormatting sqref="X22">
    <cfRule type="expression" priority="655" dxfId="0">
      <formula>=AND(G22&lt;('تنظیمات'!$C$5+75),H22&gt;('تنظیمات'!$C$5+70),F22&gt;0)</formula>
    </cfRule>
  </conditionalFormatting>
  <conditionalFormatting sqref="Y22">
    <cfRule type="expression" priority="656" dxfId="0">
      <formula>=AND(G22&lt;('تنظیمات'!$C$5+80),H22&gt;('تنظیمات'!$C$5+75),F22&gt;0)</formula>
    </cfRule>
  </conditionalFormatting>
  <conditionalFormatting sqref="Z22">
    <cfRule type="expression" priority="657" dxfId="0">
      <formula>=AND(G22&lt;('تنظیمات'!$C$5+85),H22&gt;('تنظیمات'!$C$5+80),F22&gt;0)</formula>
    </cfRule>
  </conditionalFormatting>
  <conditionalFormatting sqref="AA22">
    <cfRule type="expression" priority="658" dxfId="0">
      <formula>=AND(G22&lt;('تنظیمات'!$C$5+90),H22&gt;('تنظیمات'!$C$5+85),F22&gt;0)</formula>
    </cfRule>
  </conditionalFormatting>
  <conditionalFormatting sqref="AB22">
    <cfRule type="expression" priority="659" dxfId="0">
      <formula>=AND(G22&lt;('تنظیمات'!$C$5+95),H22&gt;('تنظیمات'!$C$5+90),F22&gt;0)</formula>
    </cfRule>
  </conditionalFormatting>
  <conditionalFormatting sqref="AC22">
    <cfRule type="expression" priority="660" dxfId="0">
      <formula>=AND(G22&lt;('تنظیمات'!$C$5+100),H22&gt;('تنظیمات'!$C$5+95),F22&gt;0)</formula>
    </cfRule>
  </conditionalFormatting>
  <conditionalFormatting sqref="AD22">
    <cfRule type="expression" priority="661" dxfId="0">
      <formula>=AND(G22&lt;('تنظیمات'!$C$5+105),H22&gt;('تنظیمات'!$C$5+100),F22&gt;0)</formula>
    </cfRule>
  </conditionalFormatting>
  <conditionalFormatting sqref="AE22">
    <cfRule type="expression" priority="662" dxfId="0">
      <formula>=AND(G22&lt;('تنظیمات'!$C$5+110),H22&gt;('تنظیمات'!$C$5+105),F22&gt;0)</formula>
    </cfRule>
  </conditionalFormatting>
  <conditionalFormatting sqref="AF22">
    <cfRule type="expression" priority="663" dxfId="0">
      <formula>=AND(G22&lt;('تنظیمات'!$C$5+115),H22&gt;('تنظیمات'!$C$5+110),F22&gt;0)</formula>
    </cfRule>
  </conditionalFormatting>
  <conditionalFormatting sqref="AG22">
    <cfRule type="expression" priority="664" dxfId="0">
      <formula>=AND(G22&lt;('تنظیمات'!$C$5+120),H22&gt;('تنظیمات'!$C$5+115),F22&gt;0)</formula>
    </cfRule>
  </conditionalFormatting>
  <conditionalFormatting sqref="AH22">
    <cfRule type="expression" priority="665" dxfId="0">
      <formula>=AND(G22&lt;('تنظیمات'!$C$5+125),H22&gt;('تنظیمات'!$C$5+120),F22&gt;0)</formula>
    </cfRule>
  </conditionalFormatting>
  <conditionalFormatting sqref="AI22">
    <cfRule type="expression" priority="666" dxfId="0">
      <formula>=AND(G22&lt;('تنظیمات'!$C$5+130),H22&gt;('تنظیمات'!$C$5+125),F22&gt;0)</formula>
    </cfRule>
  </conditionalFormatting>
  <conditionalFormatting sqref="AJ22">
    <cfRule type="expression" priority="667" dxfId="0">
      <formula>=AND(G22&lt;('تنظیمات'!$C$5+135),H22&gt;('تنظیمات'!$C$5+130),F22&gt;0)</formula>
    </cfRule>
  </conditionalFormatting>
  <conditionalFormatting sqref="AK22">
    <cfRule type="expression" priority="668" dxfId="0">
      <formula>=AND(G22&lt;('تنظیمات'!$C$5+140),H22&gt;('تنظیمات'!$C$5+135),F22&gt;0)</formula>
    </cfRule>
  </conditionalFormatting>
  <conditionalFormatting sqref="AL22">
    <cfRule type="expression" priority="669" dxfId="0">
      <formula>=AND(G22&lt;('تنظیمات'!$C$5+145),H22&gt;('تنظیمات'!$C$5+140),F22&gt;0)</formula>
    </cfRule>
  </conditionalFormatting>
  <conditionalFormatting sqref="AM22">
    <cfRule type="expression" priority="670" dxfId="0">
      <formula>=AND(G22&lt;('تنظیمات'!$C$5+150),H22&gt;('تنظیمات'!$C$5+145),F22&gt;0)</formula>
    </cfRule>
  </conditionalFormatting>
  <conditionalFormatting sqref="AN22">
    <cfRule type="expression" priority="671" dxfId="0">
      <formula>=AND(G22&lt;('تنظیمات'!$C$5+155),H22&gt;('تنظیمات'!$C$5+150),F22&gt;0)</formula>
    </cfRule>
  </conditionalFormatting>
  <conditionalFormatting sqref="AO22">
    <cfRule type="expression" priority="672" dxfId="0">
      <formula>=AND(G22&lt;('تنظیمات'!$C$5+160),H22&gt;('تنظیمات'!$C$5+155),F22&gt;0)</formula>
    </cfRule>
  </conditionalFormatting>
  <conditionalFormatting sqref="AP22">
    <cfRule type="expression" priority="673" dxfId="0">
      <formula>=AND(G22&lt;('تنظیمات'!$C$5+165),H22&gt;('تنظیمات'!$C$5+160),F22&gt;0)</formula>
    </cfRule>
  </conditionalFormatting>
  <conditionalFormatting sqref="AQ22">
    <cfRule type="expression" priority="674" dxfId="0">
      <formula>=AND(G22&lt;('تنظیمات'!$C$5+170),H22&gt;('تنظیمات'!$C$5+165),F22&gt;0)</formula>
    </cfRule>
  </conditionalFormatting>
  <conditionalFormatting sqref="AR22">
    <cfRule type="expression" priority="675" dxfId="0">
      <formula>=AND(G22&lt;('تنظیمات'!$C$5+175),H22&gt;('تنظیمات'!$C$5+170),F22&gt;0)</formula>
    </cfRule>
  </conditionalFormatting>
  <conditionalFormatting sqref="AS22">
    <cfRule type="expression" priority="676" dxfId="0">
      <formula>=AND(G22&lt;('تنظیمات'!$C$5+180),H22&gt;('تنظیمات'!$C$5+175),F22&gt;0)</formula>
    </cfRule>
  </conditionalFormatting>
  <conditionalFormatting sqref="AT22">
    <cfRule type="expression" priority="677" dxfId="0">
      <formula>=AND(G22&lt;('تنظیمات'!$C$5+185),H22&gt;('تنظیمات'!$C$5+180),F22&gt;0)</formula>
    </cfRule>
  </conditionalFormatting>
  <conditionalFormatting sqref="AU22">
    <cfRule type="expression" priority="678" dxfId="0">
      <formula>=AND(G22&lt;('تنظیمات'!$C$5+190),H22&gt;('تنظیمات'!$C$5+185),F22&gt;0)</formula>
    </cfRule>
  </conditionalFormatting>
  <conditionalFormatting sqref="AV22">
    <cfRule type="expression" priority="679" dxfId="0">
      <formula>=AND(G22&lt;('تنظیمات'!$C$5+195),H22&gt;('تنظیمات'!$C$5+190),F22&gt;0)</formula>
    </cfRule>
  </conditionalFormatting>
  <conditionalFormatting sqref="AW22">
    <cfRule type="expression" priority="680" dxfId="0">
      <formula>=AND(G22&lt;('تنظیمات'!$C$5+200),H22&gt;('تنظیمات'!$C$5+195),F22&gt;0)</formula>
    </cfRule>
  </conditionalFormatting>
  <conditionalFormatting sqref="J23">
    <cfRule type="expression" priority="681" dxfId="1">
      <formula>=AND(G23&gt;=('تنظیمات'!$C$5+0),G23&lt;('تنظیمات'!$C$5+5))</formula>
    </cfRule>
  </conditionalFormatting>
  <conditionalFormatting sqref="K23">
    <cfRule type="expression" priority="682" dxfId="1">
      <formula>=AND(G23&gt;=('تنظیمات'!$C$5+5),G23&lt;('تنظیمات'!$C$5+10))</formula>
    </cfRule>
  </conditionalFormatting>
  <conditionalFormatting sqref="L23">
    <cfRule type="expression" priority="683" dxfId="1">
      <formula>=AND(G23&gt;=('تنظیمات'!$C$5+10),G23&lt;('تنظیمات'!$C$5+15))</formula>
    </cfRule>
  </conditionalFormatting>
  <conditionalFormatting sqref="M23">
    <cfRule type="expression" priority="684" dxfId="1">
      <formula>=AND(G23&gt;=('تنظیمات'!$C$5+15),G23&lt;('تنظیمات'!$C$5+20))</formula>
    </cfRule>
  </conditionalFormatting>
  <conditionalFormatting sqref="N23">
    <cfRule type="expression" priority="685" dxfId="1">
      <formula>=AND(G23&gt;=('تنظیمات'!$C$5+20),G23&lt;('تنظیمات'!$C$5+25))</formula>
    </cfRule>
  </conditionalFormatting>
  <conditionalFormatting sqref="O23">
    <cfRule type="expression" priority="686" dxfId="1">
      <formula>=AND(G23&gt;=('تنظیمات'!$C$5+25),G23&lt;('تنظیمات'!$C$5+30))</formula>
    </cfRule>
  </conditionalFormatting>
  <conditionalFormatting sqref="P23">
    <cfRule type="expression" priority="687" dxfId="1">
      <formula>=AND(G23&gt;=('تنظیمات'!$C$5+30),G23&lt;('تنظیمات'!$C$5+35))</formula>
    </cfRule>
  </conditionalFormatting>
  <conditionalFormatting sqref="Q23">
    <cfRule type="expression" priority="688" dxfId="1">
      <formula>=AND(G23&gt;=('تنظیمات'!$C$5+35),G23&lt;('تنظیمات'!$C$5+40))</formula>
    </cfRule>
  </conditionalFormatting>
  <conditionalFormatting sqref="R23">
    <cfRule type="expression" priority="689" dxfId="1">
      <formula>=AND(G23&gt;=('تنظیمات'!$C$5+40),G23&lt;('تنظیمات'!$C$5+45))</formula>
    </cfRule>
  </conditionalFormatting>
  <conditionalFormatting sqref="S23">
    <cfRule type="expression" priority="690" dxfId="1">
      <formula>=AND(G23&gt;=('تنظیمات'!$C$5+45),G23&lt;('تنظیمات'!$C$5+50))</formula>
    </cfRule>
  </conditionalFormatting>
  <conditionalFormatting sqref="T23">
    <cfRule type="expression" priority="691" dxfId="1">
      <formula>=AND(G23&gt;=('تنظیمات'!$C$5+50),G23&lt;('تنظیمات'!$C$5+55))</formula>
    </cfRule>
  </conditionalFormatting>
  <conditionalFormatting sqref="U23">
    <cfRule type="expression" priority="692" dxfId="1">
      <formula>=AND(G23&gt;=('تنظیمات'!$C$5+55),G23&lt;('تنظیمات'!$C$5+60))</formula>
    </cfRule>
  </conditionalFormatting>
  <conditionalFormatting sqref="V23">
    <cfRule type="expression" priority="693" dxfId="1">
      <formula>=AND(G23&gt;=('تنظیمات'!$C$5+60),G23&lt;('تنظیمات'!$C$5+65))</formula>
    </cfRule>
  </conditionalFormatting>
  <conditionalFormatting sqref="W23">
    <cfRule type="expression" priority="694" dxfId="1">
      <formula>=AND(G23&gt;=('تنظیمات'!$C$5+65),G23&lt;('تنظیمات'!$C$5+70))</formula>
    </cfRule>
  </conditionalFormatting>
  <conditionalFormatting sqref="X23">
    <cfRule type="expression" priority="695" dxfId="1">
      <formula>=AND(G23&gt;=('تنظیمات'!$C$5+70),G23&lt;('تنظیمات'!$C$5+75))</formula>
    </cfRule>
  </conditionalFormatting>
  <conditionalFormatting sqref="Y23">
    <cfRule type="expression" priority="696" dxfId="1">
      <formula>=AND(G23&gt;=('تنظیمات'!$C$5+75),G23&lt;('تنظیمات'!$C$5+80))</formula>
    </cfRule>
  </conditionalFormatting>
  <conditionalFormatting sqref="Z23">
    <cfRule type="expression" priority="697" dxfId="1">
      <formula>=AND(G23&gt;=('تنظیمات'!$C$5+80),G23&lt;('تنظیمات'!$C$5+85))</formula>
    </cfRule>
  </conditionalFormatting>
  <conditionalFormatting sqref="AA23">
    <cfRule type="expression" priority="698" dxfId="1">
      <formula>=AND(G23&gt;=('تنظیمات'!$C$5+85),G23&lt;('تنظیمات'!$C$5+90))</formula>
    </cfRule>
  </conditionalFormatting>
  <conditionalFormatting sqref="AB23">
    <cfRule type="expression" priority="699" dxfId="1">
      <formula>=AND(G23&gt;=('تنظیمات'!$C$5+90),G23&lt;('تنظیمات'!$C$5+95))</formula>
    </cfRule>
  </conditionalFormatting>
  <conditionalFormatting sqref="AC23">
    <cfRule type="expression" priority="700" dxfId="1">
      <formula>=AND(G23&gt;=('تنظیمات'!$C$5+95),G23&lt;('تنظیمات'!$C$5+100))</formula>
    </cfRule>
  </conditionalFormatting>
  <conditionalFormatting sqref="AD23">
    <cfRule type="expression" priority="701" dxfId="1">
      <formula>=AND(G23&gt;=('تنظیمات'!$C$5+100),G23&lt;('تنظیمات'!$C$5+105))</formula>
    </cfRule>
  </conditionalFormatting>
  <conditionalFormatting sqref="AE23">
    <cfRule type="expression" priority="702" dxfId="1">
      <formula>=AND(G23&gt;=('تنظیمات'!$C$5+105),G23&lt;('تنظیمات'!$C$5+110))</formula>
    </cfRule>
  </conditionalFormatting>
  <conditionalFormatting sqref="AF23">
    <cfRule type="expression" priority="703" dxfId="1">
      <formula>=AND(G23&gt;=('تنظیمات'!$C$5+110),G23&lt;('تنظیمات'!$C$5+115))</formula>
    </cfRule>
  </conditionalFormatting>
  <conditionalFormatting sqref="AG23">
    <cfRule type="expression" priority="704" dxfId="1">
      <formula>=AND(G23&gt;=('تنظیمات'!$C$5+115),G23&lt;('تنظیمات'!$C$5+120))</formula>
    </cfRule>
  </conditionalFormatting>
  <conditionalFormatting sqref="AH23">
    <cfRule type="expression" priority="705" dxfId="1">
      <formula>=AND(G23&gt;=('تنظیمات'!$C$5+120),G23&lt;('تنظیمات'!$C$5+125))</formula>
    </cfRule>
  </conditionalFormatting>
  <conditionalFormatting sqref="AI23">
    <cfRule type="expression" priority="706" dxfId="1">
      <formula>=AND(G23&gt;=('تنظیمات'!$C$5+125),G23&lt;('تنظیمات'!$C$5+130))</formula>
    </cfRule>
  </conditionalFormatting>
  <conditionalFormatting sqref="AJ23">
    <cfRule type="expression" priority="707" dxfId="1">
      <formula>=AND(G23&gt;=('تنظیمات'!$C$5+130),G23&lt;('تنظیمات'!$C$5+135))</formula>
    </cfRule>
  </conditionalFormatting>
  <conditionalFormatting sqref="AK23">
    <cfRule type="expression" priority="708" dxfId="1">
      <formula>=AND(G23&gt;=('تنظیمات'!$C$5+135),G23&lt;('تنظیمات'!$C$5+140))</formula>
    </cfRule>
  </conditionalFormatting>
  <conditionalFormatting sqref="AL23">
    <cfRule type="expression" priority="709" dxfId="1">
      <formula>=AND(G23&gt;=('تنظیمات'!$C$5+140),G23&lt;('تنظیمات'!$C$5+145))</formula>
    </cfRule>
  </conditionalFormatting>
  <conditionalFormatting sqref="AM23">
    <cfRule type="expression" priority="710" dxfId="1">
      <formula>=AND(G23&gt;=('تنظیمات'!$C$5+145),G23&lt;('تنظیمات'!$C$5+150))</formula>
    </cfRule>
  </conditionalFormatting>
  <conditionalFormatting sqref="AN23">
    <cfRule type="expression" priority="711" dxfId="1">
      <formula>=AND(G23&gt;=('تنظیمات'!$C$5+150),G23&lt;('تنظیمات'!$C$5+155))</formula>
    </cfRule>
  </conditionalFormatting>
  <conditionalFormatting sqref="AO23">
    <cfRule type="expression" priority="712" dxfId="1">
      <formula>=AND(G23&gt;=('تنظیمات'!$C$5+155),G23&lt;('تنظیمات'!$C$5+160))</formula>
    </cfRule>
  </conditionalFormatting>
  <conditionalFormatting sqref="AP23">
    <cfRule type="expression" priority="713" dxfId="1">
      <formula>=AND(G23&gt;=('تنظیمات'!$C$5+160),G23&lt;('تنظیمات'!$C$5+165))</formula>
    </cfRule>
  </conditionalFormatting>
  <conditionalFormatting sqref="AQ23">
    <cfRule type="expression" priority="714" dxfId="1">
      <formula>=AND(G23&gt;=('تنظیمات'!$C$5+165),G23&lt;('تنظیمات'!$C$5+170))</formula>
    </cfRule>
  </conditionalFormatting>
  <conditionalFormatting sqref="AR23">
    <cfRule type="expression" priority="715" dxfId="1">
      <formula>=AND(G23&gt;=('تنظیمات'!$C$5+170),G23&lt;('تنظیمات'!$C$5+175))</formula>
    </cfRule>
  </conditionalFormatting>
  <conditionalFormatting sqref="AS23">
    <cfRule type="expression" priority="716" dxfId="1">
      <formula>=AND(G23&gt;=('تنظیمات'!$C$5+175),G23&lt;('تنظیمات'!$C$5+180))</formula>
    </cfRule>
  </conditionalFormatting>
  <conditionalFormatting sqref="AT23">
    <cfRule type="expression" priority="717" dxfId="1">
      <formula>=AND(G23&gt;=('تنظیمات'!$C$5+180),G23&lt;('تنظیمات'!$C$5+185))</formula>
    </cfRule>
  </conditionalFormatting>
  <conditionalFormatting sqref="AU23">
    <cfRule type="expression" priority="718" dxfId="1">
      <formula>=AND(G23&gt;=('تنظیمات'!$C$5+185),G23&lt;('تنظیمات'!$C$5+190))</formula>
    </cfRule>
  </conditionalFormatting>
  <conditionalFormatting sqref="AV23">
    <cfRule type="expression" priority="719" dxfId="1">
      <formula>=AND(G23&gt;=('تنظیمات'!$C$5+190),G23&lt;('تنظیمات'!$C$5+195))</formula>
    </cfRule>
  </conditionalFormatting>
  <conditionalFormatting sqref="AW23">
    <cfRule type="expression" priority="720" dxfId="1">
      <formula>=AND(G23&gt;=('تنظیمات'!$C$5+195),G23&lt;('تنظیمات'!$C$5+200))</formula>
    </cfRule>
  </conditionalFormatting>
  <conditionalFormatting sqref="J24">
    <cfRule type="expression" priority="721" dxfId="2">
      <formula>=AND(G24&lt;('تنظیمات'!$C$5+5),H24&gt;('تنظیمات'!$C$5+0),F24&gt;0)</formula>
    </cfRule>
  </conditionalFormatting>
  <conditionalFormatting sqref="K24">
    <cfRule type="expression" priority="722" dxfId="2">
      <formula>=AND(G24&lt;('تنظیمات'!$C$5+10),H24&gt;('تنظیمات'!$C$5+5),F24&gt;0)</formula>
    </cfRule>
  </conditionalFormatting>
  <conditionalFormatting sqref="L24">
    <cfRule type="expression" priority="723" dxfId="2">
      <formula>=AND(G24&lt;('تنظیمات'!$C$5+15),H24&gt;('تنظیمات'!$C$5+10),F24&gt;0)</formula>
    </cfRule>
  </conditionalFormatting>
  <conditionalFormatting sqref="M24">
    <cfRule type="expression" priority="724" dxfId="2">
      <formula>=AND(G24&lt;('تنظیمات'!$C$5+20),H24&gt;('تنظیمات'!$C$5+15),F24&gt;0)</formula>
    </cfRule>
  </conditionalFormatting>
  <conditionalFormatting sqref="N24">
    <cfRule type="expression" priority="725" dxfId="2">
      <formula>=AND(G24&lt;('تنظیمات'!$C$5+25),H24&gt;('تنظیمات'!$C$5+20),F24&gt;0)</formula>
    </cfRule>
  </conditionalFormatting>
  <conditionalFormatting sqref="O24">
    <cfRule type="expression" priority="726" dxfId="2">
      <formula>=AND(G24&lt;('تنظیمات'!$C$5+30),H24&gt;('تنظیمات'!$C$5+25),F24&gt;0)</formula>
    </cfRule>
  </conditionalFormatting>
  <conditionalFormatting sqref="P24">
    <cfRule type="expression" priority="727" dxfId="2">
      <formula>=AND(G24&lt;('تنظیمات'!$C$5+35),H24&gt;('تنظیمات'!$C$5+30),F24&gt;0)</formula>
    </cfRule>
  </conditionalFormatting>
  <conditionalFormatting sqref="Q24">
    <cfRule type="expression" priority="728" dxfId="2">
      <formula>=AND(G24&lt;('تنظیمات'!$C$5+40),H24&gt;('تنظیمات'!$C$5+35),F24&gt;0)</formula>
    </cfRule>
  </conditionalFormatting>
  <conditionalFormatting sqref="R24">
    <cfRule type="expression" priority="729" dxfId="2">
      <formula>=AND(G24&lt;('تنظیمات'!$C$5+45),H24&gt;('تنظیمات'!$C$5+40),F24&gt;0)</formula>
    </cfRule>
  </conditionalFormatting>
  <conditionalFormatting sqref="S24">
    <cfRule type="expression" priority="730" dxfId="2">
      <formula>=AND(G24&lt;('تنظیمات'!$C$5+50),H24&gt;('تنظیمات'!$C$5+45),F24&gt;0)</formula>
    </cfRule>
  </conditionalFormatting>
  <conditionalFormatting sqref="T24">
    <cfRule type="expression" priority="731" dxfId="2">
      <formula>=AND(G24&lt;('تنظیمات'!$C$5+55),H24&gt;('تنظیمات'!$C$5+50),F24&gt;0)</formula>
    </cfRule>
  </conditionalFormatting>
  <conditionalFormatting sqref="U24">
    <cfRule type="expression" priority="732" dxfId="2">
      <formula>=AND(G24&lt;('تنظیمات'!$C$5+60),H24&gt;('تنظیمات'!$C$5+55),F24&gt;0)</formula>
    </cfRule>
  </conditionalFormatting>
  <conditionalFormatting sqref="V24">
    <cfRule type="expression" priority="733" dxfId="2">
      <formula>=AND(G24&lt;('تنظیمات'!$C$5+65),H24&gt;('تنظیمات'!$C$5+60),F24&gt;0)</formula>
    </cfRule>
  </conditionalFormatting>
  <conditionalFormatting sqref="W24">
    <cfRule type="expression" priority="734" dxfId="2">
      <formula>=AND(G24&lt;('تنظیمات'!$C$5+70),H24&gt;('تنظیمات'!$C$5+65),F24&gt;0)</formula>
    </cfRule>
  </conditionalFormatting>
  <conditionalFormatting sqref="X24">
    <cfRule type="expression" priority="735" dxfId="2">
      <formula>=AND(G24&lt;('تنظیمات'!$C$5+75),H24&gt;('تنظیمات'!$C$5+70),F24&gt;0)</formula>
    </cfRule>
  </conditionalFormatting>
  <conditionalFormatting sqref="Y24">
    <cfRule type="expression" priority="736" dxfId="2">
      <formula>=AND(G24&lt;('تنظیمات'!$C$5+80),H24&gt;('تنظیمات'!$C$5+75),F24&gt;0)</formula>
    </cfRule>
  </conditionalFormatting>
  <conditionalFormatting sqref="Z24">
    <cfRule type="expression" priority="737" dxfId="2">
      <formula>=AND(G24&lt;('تنظیمات'!$C$5+85),H24&gt;('تنظیمات'!$C$5+80),F24&gt;0)</formula>
    </cfRule>
  </conditionalFormatting>
  <conditionalFormatting sqref="AA24">
    <cfRule type="expression" priority="738" dxfId="2">
      <formula>=AND(G24&lt;('تنظیمات'!$C$5+90),H24&gt;('تنظیمات'!$C$5+85),F24&gt;0)</formula>
    </cfRule>
  </conditionalFormatting>
  <conditionalFormatting sqref="AB24">
    <cfRule type="expression" priority="739" dxfId="2">
      <formula>=AND(G24&lt;('تنظیمات'!$C$5+95),H24&gt;('تنظیمات'!$C$5+90),F24&gt;0)</formula>
    </cfRule>
  </conditionalFormatting>
  <conditionalFormatting sqref="AC24">
    <cfRule type="expression" priority="740" dxfId="2">
      <formula>=AND(G24&lt;('تنظیمات'!$C$5+100),H24&gt;('تنظیمات'!$C$5+95),F24&gt;0)</formula>
    </cfRule>
  </conditionalFormatting>
  <conditionalFormatting sqref="AD24">
    <cfRule type="expression" priority="741" dxfId="2">
      <formula>=AND(G24&lt;('تنظیمات'!$C$5+105),H24&gt;('تنظیمات'!$C$5+100),F24&gt;0)</formula>
    </cfRule>
  </conditionalFormatting>
  <conditionalFormatting sqref="AE24">
    <cfRule type="expression" priority="742" dxfId="2">
      <formula>=AND(G24&lt;('تنظیمات'!$C$5+110),H24&gt;('تنظیمات'!$C$5+105),F24&gt;0)</formula>
    </cfRule>
  </conditionalFormatting>
  <conditionalFormatting sqref="AF24">
    <cfRule type="expression" priority="743" dxfId="2">
      <formula>=AND(G24&lt;('تنظیمات'!$C$5+115),H24&gt;('تنظیمات'!$C$5+110),F24&gt;0)</formula>
    </cfRule>
  </conditionalFormatting>
  <conditionalFormatting sqref="AG24">
    <cfRule type="expression" priority="744" dxfId="2">
      <formula>=AND(G24&lt;('تنظیمات'!$C$5+120),H24&gt;('تنظیمات'!$C$5+115),F24&gt;0)</formula>
    </cfRule>
  </conditionalFormatting>
  <conditionalFormatting sqref="AH24">
    <cfRule type="expression" priority="745" dxfId="2">
      <formula>=AND(G24&lt;('تنظیمات'!$C$5+125),H24&gt;('تنظیمات'!$C$5+120),F24&gt;0)</formula>
    </cfRule>
  </conditionalFormatting>
  <conditionalFormatting sqref="AI24">
    <cfRule type="expression" priority="746" dxfId="2">
      <formula>=AND(G24&lt;('تنظیمات'!$C$5+130),H24&gt;('تنظیمات'!$C$5+125),F24&gt;0)</formula>
    </cfRule>
  </conditionalFormatting>
  <conditionalFormatting sqref="AJ24">
    <cfRule type="expression" priority="747" dxfId="2">
      <formula>=AND(G24&lt;('تنظیمات'!$C$5+135),H24&gt;('تنظیمات'!$C$5+130),F24&gt;0)</formula>
    </cfRule>
  </conditionalFormatting>
  <conditionalFormatting sqref="AK24">
    <cfRule type="expression" priority="748" dxfId="2">
      <formula>=AND(G24&lt;('تنظیمات'!$C$5+140),H24&gt;('تنظیمات'!$C$5+135),F24&gt;0)</formula>
    </cfRule>
  </conditionalFormatting>
  <conditionalFormatting sqref="AL24">
    <cfRule type="expression" priority="749" dxfId="2">
      <formula>=AND(G24&lt;('تنظیمات'!$C$5+145),H24&gt;('تنظیمات'!$C$5+140),F24&gt;0)</formula>
    </cfRule>
  </conditionalFormatting>
  <conditionalFormatting sqref="AM24">
    <cfRule type="expression" priority="750" dxfId="2">
      <formula>=AND(G24&lt;('تنظیمات'!$C$5+150),H24&gt;('تنظیمات'!$C$5+145),F24&gt;0)</formula>
    </cfRule>
  </conditionalFormatting>
  <conditionalFormatting sqref="AN24">
    <cfRule type="expression" priority="751" dxfId="2">
      <formula>=AND(G24&lt;('تنظیمات'!$C$5+155),H24&gt;('تنظیمات'!$C$5+150),F24&gt;0)</formula>
    </cfRule>
  </conditionalFormatting>
  <conditionalFormatting sqref="AO24">
    <cfRule type="expression" priority="752" dxfId="2">
      <formula>=AND(G24&lt;('تنظیمات'!$C$5+160),H24&gt;('تنظیمات'!$C$5+155),F24&gt;0)</formula>
    </cfRule>
  </conditionalFormatting>
  <conditionalFormatting sqref="AP24">
    <cfRule type="expression" priority="753" dxfId="2">
      <formula>=AND(G24&lt;('تنظیمات'!$C$5+165),H24&gt;('تنظیمات'!$C$5+160),F24&gt;0)</formula>
    </cfRule>
  </conditionalFormatting>
  <conditionalFormatting sqref="AQ24">
    <cfRule type="expression" priority="754" dxfId="2">
      <formula>=AND(G24&lt;('تنظیمات'!$C$5+170),H24&gt;('تنظیمات'!$C$5+165),F24&gt;0)</formula>
    </cfRule>
  </conditionalFormatting>
  <conditionalFormatting sqref="AR24">
    <cfRule type="expression" priority="755" dxfId="2">
      <formula>=AND(G24&lt;('تنظیمات'!$C$5+175),H24&gt;('تنظیمات'!$C$5+170),F24&gt;0)</formula>
    </cfRule>
  </conditionalFormatting>
  <conditionalFormatting sqref="AS24">
    <cfRule type="expression" priority="756" dxfId="2">
      <formula>=AND(G24&lt;('تنظیمات'!$C$5+180),H24&gt;('تنظیمات'!$C$5+175),F24&gt;0)</formula>
    </cfRule>
  </conditionalFormatting>
  <conditionalFormatting sqref="AT24">
    <cfRule type="expression" priority="757" dxfId="2">
      <formula>=AND(G24&lt;('تنظیمات'!$C$5+185),H24&gt;('تنظیمات'!$C$5+180),F24&gt;0)</formula>
    </cfRule>
  </conditionalFormatting>
  <conditionalFormatting sqref="AU24">
    <cfRule type="expression" priority="758" dxfId="2">
      <formula>=AND(G24&lt;('تنظیمات'!$C$5+190),H24&gt;('تنظیمات'!$C$5+185),F24&gt;0)</formula>
    </cfRule>
  </conditionalFormatting>
  <conditionalFormatting sqref="AV24">
    <cfRule type="expression" priority="759" dxfId="2">
      <formula>=AND(G24&lt;('تنظیمات'!$C$5+195),H24&gt;('تنظیمات'!$C$5+190),F24&gt;0)</formula>
    </cfRule>
  </conditionalFormatting>
  <conditionalFormatting sqref="AW24">
    <cfRule type="expression" priority="760" dxfId="2">
      <formula>=AND(G24&lt;('تنظیمات'!$C$5+200),H24&gt;('تنظیمات'!$C$5+195),F24&gt;0)</formula>
    </cfRule>
  </conditionalFormatting>
  <conditionalFormatting sqref="J25">
    <cfRule type="expression" priority="761" dxfId="2">
      <formula>=AND(G25&lt;('تنظیمات'!$C$5+5),H25&gt;('تنظیمات'!$C$5+0),F25&gt;0)</formula>
    </cfRule>
  </conditionalFormatting>
  <conditionalFormatting sqref="K25">
    <cfRule type="expression" priority="762" dxfId="2">
      <formula>=AND(G25&lt;('تنظیمات'!$C$5+10),H25&gt;('تنظیمات'!$C$5+5),F25&gt;0)</formula>
    </cfRule>
  </conditionalFormatting>
  <conditionalFormatting sqref="L25">
    <cfRule type="expression" priority="763" dxfId="2">
      <formula>=AND(G25&lt;('تنظیمات'!$C$5+15),H25&gt;('تنظیمات'!$C$5+10),F25&gt;0)</formula>
    </cfRule>
  </conditionalFormatting>
  <conditionalFormatting sqref="M25">
    <cfRule type="expression" priority="764" dxfId="2">
      <formula>=AND(G25&lt;('تنظیمات'!$C$5+20),H25&gt;('تنظیمات'!$C$5+15),F25&gt;0)</formula>
    </cfRule>
  </conditionalFormatting>
  <conditionalFormatting sqref="N25">
    <cfRule type="expression" priority="765" dxfId="2">
      <formula>=AND(G25&lt;('تنظیمات'!$C$5+25),H25&gt;('تنظیمات'!$C$5+20),F25&gt;0)</formula>
    </cfRule>
  </conditionalFormatting>
  <conditionalFormatting sqref="O25">
    <cfRule type="expression" priority="766" dxfId="2">
      <formula>=AND(G25&lt;('تنظیمات'!$C$5+30),H25&gt;('تنظیمات'!$C$5+25),F25&gt;0)</formula>
    </cfRule>
  </conditionalFormatting>
  <conditionalFormatting sqref="P25">
    <cfRule type="expression" priority="767" dxfId="2">
      <formula>=AND(G25&lt;('تنظیمات'!$C$5+35),H25&gt;('تنظیمات'!$C$5+30),F25&gt;0)</formula>
    </cfRule>
  </conditionalFormatting>
  <conditionalFormatting sqref="Q25">
    <cfRule type="expression" priority="768" dxfId="2">
      <formula>=AND(G25&lt;('تنظیمات'!$C$5+40),H25&gt;('تنظیمات'!$C$5+35),F25&gt;0)</formula>
    </cfRule>
  </conditionalFormatting>
  <conditionalFormatting sqref="R25">
    <cfRule type="expression" priority="769" dxfId="2">
      <formula>=AND(G25&lt;('تنظیمات'!$C$5+45),H25&gt;('تنظیمات'!$C$5+40),F25&gt;0)</formula>
    </cfRule>
  </conditionalFormatting>
  <conditionalFormatting sqref="S25">
    <cfRule type="expression" priority="770" dxfId="2">
      <formula>=AND(G25&lt;('تنظیمات'!$C$5+50),H25&gt;('تنظیمات'!$C$5+45),F25&gt;0)</formula>
    </cfRule>
  </conditionalFormatting>
  <conditionalFormatting sqref="T25">
    <cfRule type="expression" priority="771" dxfId="2">
      <formula>=AND(G25&lt;('تنظیمات'!$C$5+55),H25&gt;('تنظیمات'!$C$5+50),F25&gt;0)</formula>
    </cfRule>
  </conditionalFormatting>
  <conditionalFormatting sqref="U25">
    <cfRule type="expression" priority="772" dxfId="2">
      <formula>=AND(G25&lt;('تنظیمات'!$C$5+60),H25&gt;('تنظیمات'!$C$5+55),F25&gt;0)</formula>
    </cfRule>
  </conditionalFormatting>
  <conditionalFormatting sqref="V25">
    <cfRule type="expression" priority="773" dxfId="2">
      <formula>=AND(G25&lt;('تنظیمات'!$C$5+65),H25&gt;('تنظیمات'!$C$5+60),F25&gt;0)</formula>
    </cfRule>
  </conditionalFormatting>
  <conditionalFormatting sqref="W25">
    <cfRule type="expression" priority="774" dxfId="2">
      <formula>=AND(G25&lt;('تنظیمات'!$C$5+70),H25&gt;('تنظیمات'!$C$5+65),F25&gt;0)</formula>
    </cfRule>
  </conditionalFormatting>
  <conditionalFormatting sqref="X25">
    <cfRule type="expression" priority="775" dxfId="2">
      <formula>=AND(G25&lt;('تنظیمات'!$C$5+75),H25&gt;('تنظیمات'!$C$5+70),F25&gt;0)</formula>
    </cfRule>
  </conditionalFormatting>
  <conditionalFormatting sqref="Y25">
    <cfRule type="expression" priority="776" dxfId="2">
      <formula>=AND(G25&lt;('تنظیمات'!$C$5+80),H25&gt;('تنظیمات'!$C$5+75),F25&gt;0)</formula>
    </cfRule>
  </conditionalFormatting>
  <conditionalFormatting sqref="Z25">
    <cfRule type="expression" priority="777" dxfId="2">
      <formula>=AND(G25&lt;('تنظیمات'!$C$5+85),H25&gt;('تنظیمات'!$C$5+80),F25&gt;0)</formula>
    </cfRule>
  </conditionalFormatting>
  <conditionalFormatting sqref="AA25">
    <cfRule type="expression" priority="778" dxfId="2">
      <formula>=AND(G25&lt;('تنظیمات'!$C$5+90),H25&gt;('تنظیمات'!$C$5+85),F25&gt;0)</formula>
    </cfRule>
  </conditionalFormatting>
  <conditionalFormatting sqref="AB25">
    <cfRule type="expression" priority="779" dxfId="2">
      <formula>=AND(G25&lt;('تنظیمات'!$C$5+95),H25&gt;('تنظیمات'!$C$5+90),F25&gt;0)</formula>
    </cfRule>
  </conditionalFormatting>
  <conditionalFormatting sqref="AC25">
    <cfRule type="expression" priority="780" dxfId="2">
      <formula>=AND(G25&lt;('تنظیمات'!$C$5+100),H25&gt;('تنظیمات'!$C$5+95),F25&gt;0)</formula>
    </cfRule>
  </conditionalFormatting>
  <conditionalFormatting sqref="AD25">
    <cfRule type="expression" priority="781" dxfId="2">
      <formula>=AND(G25&lt;('تنظیمات'!$C$5+105),H25&gt;('تنظیمات'!$C$5+100),F25&gt;0)</formula>
    </cfRule>
  </conditionalFormatting>
  <conditionalFormatting sqref="AE25">
    <cfRule type="expression" priority="782" dxfId="2">
      <formula>=AND(G25&lt;('تنظیمات'!$C$5+110),H25&gt;('تنظیمات'!$C$5+105),F25&gt;0)</formula>
    </cfRule>
  </conditionalFormatting>
  <conditionalFormatting sqref="AF25">
    <cfRule type="expression" priority="783" dxfId="2">
      <formula>=AND(G25&lt;('تنظیمات'!$C$5+115),H25&gt;('تنظیمات'!$C$5+110),F25&gt;0)</formula>
    </cfRule>
  </conditionalFormatting>
  <conditionalFormatting sqref="AG25">
    <cfRule type="expression" priority="784" dxfId="2">
      <formula>=AND(G25&lt;('تنظیمات'!$C$5+120),H25&gt;('تنظیمات'!$C$5+115),F25&gt;0)</formula>
    </cfRule>
  </conditionalFormatting>
  <conditionalFormatting sqref="AH25">
    <cfRule type="expression" priority="785" dxfId="2">
      <formula>=AND(G25&lt;('تنظیمات'!$C$5+125),H25&gt;('تنظیمات'!$C$5+120),F25&gt;0)</formula>
    </cfRule>
  </conditionalFormatting>
  <conditionalFormatting sqref="AI25">
    <cfRule type="expression" priority="786" dxfId="2">
      <formula>=AND(G25&lt;('تنظیمات'!$C$5+130),H25&gt;('تنظیمات'!$C$5+125),F25&gt;0)</formula>
    </cfRule>
  </conditionalFormatting>
  <conditionalFormatting sqref="AJ25">
    <cfRule type="expression" priority="787" dxfId="2">
      <formula>=AND(G25&lt;('تنظیمات'!$C$5+135),H25&gt;('تنظیمات'!$C$5+130),F25&gt;0)</formula>
    </cfRule>
  </conditionalFormatting>
  <conditionalFormatting sqref="AK25">
    <cfRule type="expression" priority="788" dxfId="2">
      <formula>=AND(G25&lt;('تنظیمات'!$C$5+140),H25&gt;('تنظیمات'!$C$5+135),F25&gt;0)</formula>
    </cfRule>
  </conditionalFormatting>
  <conditionalFormatting sqref="AL25">
    <cfRule type="expression" priority="789" dxfId="2">
      <formula>=AND(G25&lt;('تنظیمات'!$C$5+145),H25&gt;('تنظیمات'!$C$5+140),F25&gt;0)</formula>
    </cfRule>
  </conditionalFormatting>
  <conditionalFormatting sqref="AM25">
    <cfRule type="expression" priority="790" dxfId="2">
      <formula>=AND(G25&lt;('تنظیمات'!$C$5+150),H25&gt;('تنظیمات'!$C$5+145),F25&gt;0)</formula>
    </cfRule>
  </conditionalFormatting>
  <conditionalFormatting sqref="AN25">
    <cfRule type="expression" priority="791" dxfId="2">
      <formula>=AND(G25&lt;('تنظیمات'!$C$5+155),H25&gt;('تنظیمات'!$C$5+150),F25&gt;0)</formula>
    </cfRule>
  </conditionalFormatting>
  <conditionalFormatting sqref="AO25">
    <cfRule type="expression" priority="792" dxfId="2">
      <formula>=AND(G25&lt;('تنظیمات'!$C$5+160),H25&gt;('تنظیمات'!$C$5+155),F25&gt;0)</formula>
    </cfRule>
  </conditionalFormatting>
  <conditionalFormatting sqref="AP25">
    <cfRule type="expression" priority="793" dxfId="2">
      <formula>=AND(G25&lt;('تنظیمات'!$C$5+165),H25&gt;('تنظیمات'!$C$5+160),F25&gt;0)</formula>
    </cfRule>
  </conditionalFormatting>
  <conditionalFormatting sqref="AQ25">
    <cfRule type="expression" priority="794" dxfId="2">
      <formula>=AND(G25&lt;('تنظیمات'!$C$5+170),H25&gt;('تنظیمات'!$C$5+165),F25&gt;0)</formula>
    </cfRule>
  </conditionalFormatting>
  <conditionalFormatting sqref="AR25">
    <cfRule type="expression" priority="795" dxfId="2">
      <formula>=AND(G25&lt;('تنظیمات'!$C$5+175),H25&gt;('تنظیمات'!$C$5+170),F25&gt;0)</formula>
    </cfRule>
  </conditionalFormatting>
  <conditionalFormatting sqref="AS25">
    <cfRule type="expression" priority="796" dxfId="2">
      <formula>=AND(G25&lt;('تنظیمات'!$C$5+180),H25&gt;('تنظیمات'!$C$5+175),F25&gt;0)</formula>
    </cfRule>
  </conditionalFormatting>
  <conditionalFormatting sqref="AT25">
    <cfRule type="expression" priority="797" dxfId="2">
      <formula>=AND(G25&lt;('تنظیمات'!$C$5+185),H25&gt;('تنظیمات'!$C$5+180),F25&gt;0)</formula>
    </cfRule>
  </conditionalFormatting>
  <conditionalFormatting sqref="AU25">
    <cfRule type="expression" priority="798" dxfId="2">
      <formula>=AND(G25&lt;('تنظیمات'!$C$5+190),H25&gt;('تنظیمات'!$C$5+185),F25&gt;0)</formula>
    </cfRule>
  </conditionalFormatting>
  <conditionalFormatting sqref="AV25">
    <cfRule type="expression" priority="799" dxfId="2">
      <formula>=AND(G25&lt;('تنظیمات'!$C$5+195),H25&gt;('تنظیمات'!$C$5+190),F25&gt;0)</formula>
    </cfRule>
  </conditionalFormatting>
  <conditionalFormatting sqref="AW25">
    <cfRule type="expression" priority="800" dxfId="2">
      <formula>=AND(G25&lt;('تنظیمات'!$C$5+200),H25&gt;('تنظیمات'!$C$5+195),F25&gt;0)</formula>
    </cfRule>
  </conditionalFormatting>
  <conditionalFormatting sqref="J26">
    <cfRule type="expression" priority="801" dxfId="2">
      <formula>=AND(G26&lt;('تنظیمات'!$C$5+5),H26&gt;('تنظیمات'!$C$5+0),F26&gt;0)</formula>
    </cfRule>
  </conditionalFormatting>
  <conditionalFormatting sqref="K26">
    <cfRule type="expression" priority="802" dxfId="2">
      <formula>=AND(G26&lt;('تنظیمات'!$C$5+10),H26&gt;('تنظیمات'!$C$5+5),F26&gt;0)</formula>
    </cfRule>
  </conditionalFormatting>
  <conditionalFormatting sqref="L26">
    <cfRule type="expression" priority="803" dxfId="2">
      <formula>=AND(G26&lt;('تنظیمات'!$C$5+15),H26&gt;('تنظیمات'!$C$5+10),F26&gt;0)</formula>
    </cfRule>
  </conditionalFormatting>
  <conditionalFormatting sqref="M26">
    <cfRule type="expression" priority="804" dxfId="2">
      <formula>=AND(G26&lt;('تنظیمات'!$C$5+20),H26&gt;('تنظیمات'!$C$5+15),F26&gt;0)</formula>
    </cfRule>
  </conditionalFormatting>
  <conditionalFormatting sqref="N26">
    <cfRule type="expression" priority="805" dxfId="2">
      <formula>=AND(G26&lt;('تنظیمات'!$C$5+25),H26&gt;('تنظیمات'!$C$5+20),F26&gt;0)</formula>
    </cfRule>
  </conditionalFormatting>
  <conditionalFormatting sqref="O26">
    <cfRule type="expression" priority="806" dxfId="2">
      <formula>=AND(G26&lt;('تنظیمات'!$C$5+30),H26&gt;('تنظیمات'!$C$5+25),F26&gt;0)</formula>
    </cfRule>
  </conditionalFormatting>
  <conditionalFormatting sqref="P26">
    <cfRule type="expression" priority="807" dxfId="2">
      <formula>=AND(G26&lt;('تنظیمات'!$C$5+35),H26&gt;('تنظیمات'!$C$5+30),F26&gt;0)</formula>
    </cfRule>
  </conditionalFormatting>
  <conditionalFormatting sqref="Q26">
    <cfRule type="expression" priority="808" dxfId="2">
      <formula>=AND(G26&lt;('تنظیمات'!$C$5+40),H26&gt;('تنظیمات'!$C$5+35),F26&gt;0)</formula>
    </cfRule>
  </conditionalFormatting>
  <conditionalFormatting sqref="R26">
    <cfRule type="expression" priority="809" dxfId="2">
      <formula>=AND(G26&lt;('تنظیمات'!$C$5+45),H26&gt;('تنظیمات'!$C$5+40),F26&gt;0)</formula>
    </cfRule>
  </conditionalFormatting>
  <conditionalFormatting sqref="S26">
    <cfRule type="expression" priority="810" dxfId="2">
      <formula>=AND(G26&lt;('تنظیمات'!$C$5+50),H26&gt;('تنظیمات'!$C$5+45),F26&gt;0)</formula>
    </cfRule>
  </conditionalFormatting>
  <conditionalFormatting sqref="T26">
    <cfRule type="expression" priority="811" dxfId="2">
      <formula>=AND(G26&lt;('تنظیمات'!$C$5+55),H26&gt;('تنظیمات'!$C$5+50),F26&gt;0)</formula>
    </cfRule>
  </conditionalFormatting>
  <conditionalFormatting sqref="U26">
    <cfRule type="expression" priority="812" dxfId="2">
      <formula>=AND(G26&lt;('تنظیمات'!$C$5+60),H26&gt;('تنظیمات'!$C$5+55),F26&gt;0)</formula>
    </cfRule>
  </conditionalFormatting>
  <conditionalFormatting sqref="V26">
    <cfRule type="expression" priority="813" dxfId="2">
      <formula>=AND(G26&lt;('تنظیمات'!$C$5+65),H26&gt;('تنظیمات'!$C$5+60),F26&gt;0)</formula>
    </cfRule>
  </conditionalFormatting>
  <conditionalFormatting sqref="W26">
    <cfRule type="expression" priority="814" dxfId="2">
      <formula>=AND(G26&lt;('تنظیمات'!$C$5+70),H26&gt;('تنظیمات'!$C$5+65),F26&gt;0)</formula>
    </cfRule>
  </conditionalFormatting>
  <conditionalFormatting sqref="X26">
    <cfRule type="expression" priority="815" dxfId="2">
      <formula>=AND(G26&lt;('تنظیمات'!$C$5+75),H26&gt;('تنظیمات'!$C$5+70),F26&gt;0)</formula>
    </cfRule>
  </conditionalFormatting>
  <conditionalFormatting sqref="Y26">
    <cfRule type="expression" priority="816" dxfId="2">
      <formula>=AND(G26&lt;('تنظیمات'!$C$5+80),H26&gt;('تنظیمات'!$C$5+75),F26&gt;0)</formula>
    </cfRule>
  </conditionalFormatting>
  <conditionalFormatting sqref="Z26">
    <cfRule type="expression" priority="817" dxfId="2">
      <formula>=AND(G26&lt;('تنظیمات'!$C$5+85),H26&gt;('تنظیمات'!$C$5+80),F26&gt;0)</formula>
    </cfRule>
  </conditionalFormatting>
  <conditionalFormatting sqref="AA26">
    <cfRule type="expression" priority="818" dxfId="2">
      <formula>=AND(G26&lt;('تنظیمات'!$C$5+90),H26&gt;('تنظیمات'!$C$5+85),F26&gt;0)</formula>
    </cfRule>
  </conditionalFormatting>
  <conditionalFormatting sqref="AB26">
    <cfRule type="expression" priority="819" dxfId="2">
      <formula>=AND(G26&lt;('تنظیمات'!$C$5+95),H26&gt;('تنظیمات'!$C$5+90),F26&gt;0)</formula>
    </cfRule>
  </conditionalFormatting>
  <conditionalFormatting sqref="AC26">
    <cfRule type="expression" priority="820" dxfId="2">
      <formula>=AND(G26&lt;('تنظیمات'!$C$5+100),H26&gt;('تنظیمات'!$C$5+95),F26&gt;0)</formula>
    </cfRule>
  </conditionalFormatting>
  <conditionalFormatting sqref="AD26">
    <cfRule type="expression" priority="821" dxfId="2">
      <formula>=AND(G26&lt;('تنظیمات'!$C$5+105),H26&gt;('تنظیمات'!$C$5+100),F26&gt;0)</formula>
    </cfRule>
  </conditionalFormatting>
  <conditionalFormatting sqref="AE26">
    <cfRule type="expression" priority="822" dxfId="2">
      <formula>=AND(G26&lt;('تنظیمات'!$C$5+110),H26&gt;('تنظیمات'!$C$5+105),F26&gt;0)</formula>
    </cfRule>
  </conditionalFormatting>
  <conditionalFormatting sqref="AF26">
    <cfRule type="expression" priority="823" dxfId="2">
      <formula>=AND(G26&lt;('تنظیمات'!$C$5+115),H26&gt;('تنظیمات'!$C$5+110),F26&gt;0)</formula>
    </cfRule>
  </conditionalFormatting>
  <conditionalFormatting sqref="AG26">
    <cfRule type="expression" priority="824" dxfId="2">
      <formula>=AND(G26&lt;('تنظیمات'!$C$5+120),H26&gt;('تنظیمات'!$C$5+115),F26&gt;0)</formula>
    </cfRule>
  </conditionalFormatting>
  <conditionalFormatting sqref="AH26">
    <cfRule type="expression" priority="825" dxfId="2">
      <formula>=AND(G26&lt;('تنظیمات'!$C$5+125),H26&gt;('تنظیمات'!$C$5+120),F26&gt;0)</formula>
    </cfRule>
  </conditionalFormatting>
  <conditionalFormatting sqref="AI26">
    <cfRule type="expression" priority="826" dxfId="2">
      <formula>=AND(G26&lt;('تنظیمات'!$C$5+130),H26&gt;('تنظیمات'!$C$5+125),F26&gt;0)</formula>
    </cfRule>
  </conditionalFormatting>
  <conditionalFormatting sqref="AJ26">
    <cfRule type="expression" priority="827" dxfId="2">
      <formula>=AND(G26&lt;('تنظیمات'!$C$5+135),H26&gt;('تنظیمات'!$C$5+130),F26&gt;0)</formula>
    </cfRule>
  </conditionalFormatting>
  <conditionalFormatting sqref="AK26">
    <cfRule type="expression" priority="828" dxfId="2">
      <formula>=AND(G26&lt;('تنظیمات'!$C$5+140),H26&gt;('تنظیمات'!$C$5+135),F26&gt;0)</formula>
    </cfRule>
  </conditionalFormatting>
  <conditionalFormatting sqref="AL26">
    <cfRule type="expression" priority="829" dxfId="2">
      <formula>=AND(G26&lt;('تنظیمات'!$C$5+145),H26&gt;('تنظیمات'!$C$5+140),F26&gt;0)</formula>
    </cfRule>
  </conditionalFormatting>
  <conditionalFormatting sqref="AM26">
    <cfRule type="expression" priority="830" dxfId="2">
      <formula>=AND(G26&lt;('تنظیمات'!$C$5+150),H26&gt;('تنظیمات'!$C$5+145),F26&gt;0)</formula>
    </cfRule>
  </conditionalFormatting>
  <conditionalFormatting sqref="AN26">
    <cfRule type="expression" priority="831" dxfId="2">
      <formula>=AND(G26&lt;('تنظیمات'!$C$5+155),H26&gt;('تنظیمات'!$C$5+150),F26&gt;0)</formula>
    </cfRule>
  </conditionalFormatting>
  <conditionalFormatting sqref="AO26">
    <cfRule type="expression" priority="832" dxfId="2">
      <formula>=AND(G26&lt;('تنظیمات'!$C$5+160),H26&gt;('تنظیمات'!$C$5+155),F26&gt;0)</formula>
    </cfRule>
  </conditionalFormatting>
  <conditionalFormatting sqref="AP26">
    <cfRule type="expression" priority="833" dxfId="2">
      <formula>=AND(G26&lt;('تنظیمات'!$C$5+165),H26&gt;('تنظیمات'!$C$5+160),F26&gt;0)</formula>
    </cfRule>
  </conditionalFormatting>
  <conditionalFormatting sqref="AQ26">
    <cfRule type="expression" priority="834" dxfId="2">
      <formula>=AND(G26&lt;('تنظیمات'!$C$5+170),H26&gt;('تنظیمات'!$C$5+165),F26&gt;0)</formula>
    </cfRule>
  </conditionalFormatting>
  <conditionalFormatting sqref="AR26">
    <cfRule type="expression" priority="835" dxfId="2">
      <formula>=AND(G26&lt;('تنظیمات'!$C$5+175),H26&gt;('تنظیمات'!$C$5+170),F26&gt;0)</formula>
    </cfRule>
  </conditionalFormatting>
  <conditionalFormatting sqref="AS26">
    <cfRule type="expression" priority="836" dxfId="2">
      <formula>=AND(G26&lt;('تنظیمات'!$C$5+180),H26&gt;('تنظیمات'!$C$5+175),F26&gt;0)</formula>
    </cfRule>
  </conditionalFormatting>
  <conditionalFormatting sqref="AT26">
    <cfRule type="expression" priority="837" dxfId="2">
      <formula>=AND(G26&lt;('تنظیمات'!$C$5+185),H26&gt;('تنظیمات'!$C$5+180),F26&gt;0)</formula>
    </cfRule>
  </conditionalFormatting>
  <conditionalFormatting sqref="AU26">
    <cfRule type="expression" priority="838" dxfId="2">
      <formula>=AND(G26&lt;('تنظیمات'!$C$5+190),H26&gt;('تنظیمات'!$C$5+185),F26&gt;0)</formula>
    </cfRule>
  </conditionalFormatting>
  <conditionalFormatting sqref="AV26">
    <cfRule type="expression" priority="839" dxfId="2">
      <formula>=AND(G26&lt;('تنظیمات'!$C$5+195),H26&gt;('تنظیمات'!$C$5+190),F26&gt;0)</formula>
    </cfRule>
  </conditionalFormatting>
  <conditionalFormatting sqref="AW26">
    <cfRule type="expression" priority="840" dxfId="2">
      <formula>=AND(G26&lt;('تنظیمات'!$C$5+200),H26&gt;('تنظیمات'!$C$5+195),F26&gt;0)</formula>
    </cfRule>
  </conditionalFormatting>
  <conditionalFormatting sqref="J27">
    <cfRule type="expression" priority="841" dxfId="2">
      <formula>=AND(G27&lt;('تنظیمات'!$C$5+5),H27&gt;('تنظیمات'!$C$5+0),F27&gt;0)</formula>
    </cfRule>
  </conditionalFormatting>
  <conditionalFormatting sqref="K27">
    <cfRule type="expression" priority="842" dxfId="2">
      <formula>=AND(G27&lt;('تنظیمات'!$C$5+10),H27&gt;('تنظیمات'!$C$5+5),F27&gt;0)</formula>
    </cfRule>
  </conditionalFormatting>
  <conditionalFormatting sqref="L27">
    <cfRule type="expression" priority="843" dxfId="2">
      <formula>=AND(G27&lt;('تنظیمات'!$C$5+15),H27&gt;('تنظیمات'!$C$5+10),F27&gt;0)</formula>
    </cfRule>
  </conditionalFormatting>
  <conditionalFormatting sqref="M27">
    <cfRule type="expression" priority="844" dxfId="2">
      <formula>=AND(G27&lt;('تنظیمات'!$C$5+20),H27&gt;('تنظیمات'!$C$5+15),F27&gt;0)</formula>
    </cfRule>
  </conditionalFormatting>
  <conditionalFormatting sqref="N27">
    <cfRule type="expression" priority="845" dxfId="2">
      <formula>=AND(G27&lt;('تنظیمات'!$C$5+25),H27&gt;('تنظیمات'!$C$5+20),F27&gt;0)</formula>
    </cfRule>
  </conditionalFormatting>
  <conditionalFormatting sqref="O27">
    <cfRule type="expression" priority="846" dxfId="2">
      <formula>=AND(G27&lt;('تنظیمات'!$C$5+30),H27&gt;('تنظیمات'!$C$5+25),F27&gt;0)</formula>
    </cfRule>
  </conditionalFormatting>
  <conditionalFormatting sqref="P27">
    <cfRule type="expression" priority="847" dxfId="2">
      <formula>=AND(G27&lt;('تنظیمات'!$C$5+35),H27&gt;('تنظیمات'!$C$5+30),F27&gt;0)</formula>
    </cfRule>
  </conditionalFormatting>
  <conditionalFormatting sqref="Q27">
    <cfRule type="expression" priority="848" dxfId="2">
      <formula>=AND(G27&lt;('تنظیمات'!$C$5+40),H27&gt;('تنظیمات'!$C$5+35),F27&gt;0)</formula>
    </cfRule>
  </conditionalFormatting>
  <conditionalFormatting sqref="R27">
    <cfRule type="expression" priority="849" dxfId="2">
      <formula>=AND(G27&lt;('تنظیمات'!$C$5+45),H27&gt;('تنظیمات'!$C$5+40),F27&gt;0)</formula>
    </cfRule>
  </conditionalFormatting>
  <conditionalFormatting sqref="S27">
    <cfRule type="expression" priority="850" dxfId="2">
      <formula>=AND(G27&lt;('تنظیمات'!$C$5+50),H27&gt;('تنظیمات'!$C$5+45),F27&gt;0)</formula>
    </cfRule>
  </conditionalFormatting>
  <conditionalFormatting sqref="T27">
    <cfRule type="expression" priority="851" dxfId="2">
      <formula>=AND(G27&lt;('تنظیمات'!$C$5+55),H27&gt;('تنظیمات'!$C$5+50),F27&gt;0)</formula>
    </cfRule>
  </conditionalFormatting>
  <conditionalFormatting sqref="U27">
    <cfRule type="expression" priority="852" dxfId="2">
      <formula>=AND(G27&lt;('تنظیمات'!$C$5+60),H27&gt;('تنظیمات'!$C$5+55),F27&gt;0)</formula>
    </cfRule>
  </conditionalFormatting>
  <conditionalFormatting sqref="V27">
    <cfRule type="expression" priority="853" dxfId="2">
      <formula>=AND(G27&lt;('تنظیمات'!$C$5+65),H27&gt;('تنظیمات'!$C$5+60),F27&gt;0)</formula>
    </cfRule>
  </conditionalFormatting>
  <conditionalFormatting sqref="W27">
    <cfRule type="expression" priority="854" dxfId="2">
      <formula>=AND(G27&lt;('تنظیمات'!$C$5+70),H27&gt;('تنظیمات'!$C$5+65),F27&gt;0)</formula>
    </cfRule>
  </conditionalFormatting>
  <conditionalFormatting sqref="X27">
    <cfRule type="expression" priority="855" dxfId="2">
      <formula>=AND(G27&lt;('تنظیمات'!$C$5+75),H27&gt;('تنظیمات'!$C$5+70),F27&gt;0)</formula>
    </cfRule>
  </conditionalFormatting>
  <conditionalFormatting sqref="Y27">
    <cfRule type="expression" priority="856" dxfId="2">
      <formula>=AND(G27&lt;('تنظیمات'!$C$5+80),H27&gt;('تنظیمات'!$C$5+75),F27&gt;0)</formula>
    </cfRule>
  </conditionalFormatting>
  <conditionalFormatting sqref="Z27">
    <cfRule type="expression" priority="857" dxfId="2">
      <formula>=AND(G27&lt;('تنظیمات'!$C$5+85),H27&gt;('تنظیمات'!$C$5+80),F27&gt;0)</formula>
    </cfRule>
  </conditionalFormatting>
  <conditionalFormatting sqref="AA27">
    <cfRule type="expression" priority="858" dxfId="2">
      <formula>=AND(G27&lt;('تنظیمات'!$C$5+90),H27&gt;('تنظیمات'!$C$5+85),F27&gt;0)</formula>
    </cfRule>
  </conditionalFormatting>
  <conditionalFormatting sqref="AB27">
    <cfRule type="expression" priority="859" dxfId="2">
      <formula>=AND(G27&lt;('تنظیمات'!$C$5+95),H27&gt;('تنظیمات'!$C$5+90),F27&gt;0)</formula>
    </cfRule>
  </conditionalFormatting>
  <conditionalFormatting sqref="AC27">
    <cfRule type="expression" priority="860" dxfId="2">
      <formula>=AND(G27&lt;('تنظیمات'!$C$5+100),H27&gt;('تنظیمات'!$C$5+95),F27&gt;0)</formula>
    </cfRule>
  </conditionalFormatting>
  <conditionalFormatting sqref="AD27">
    <cfRule type="expression" priority="861" dxfId="2">
      <formula>=AND(G27&lt;('تنظیمات'!$C$5+105),H27&gt;('تنظیمات'!$C$5+100),F27&gt;0)</formula>
    </cfRule>
  </conditionalFormatting>
  <conditionalFormatting sqref="AE27">
    <cfRule type="expression" priority="862" dxfId="2">
      <formula>=AND(G27&lt;('تنظیمات'!$C$5+110),H27&gt;('تنظیمات'!$C$5+105),F27&gt;0)</formula>
    </cfRule>
  </conditionalFormatting>
  <conditionalFormatting sqref="AF27">
    <cfRule type="expression" priority="863" dxfId="2">
      <formula>=AND(G27&lt;('تنظیمات'!$C$5+115),H27&gt;('تنظیمات'!$C$5+110),F27&gt;0)</formula>
    </cfRule>
  </conditionalFormatting>
  <conditionalFormatting sqref="AG27">
    <cfRule type="expression" priority="864" dxfId="2">
      <formula>=AND(G27&lt;('تنظیمات'!$C$5+120),H27&gt;('تنظیمات'!$C$5+115),F27&gt;0)</formula>
    </cfRule>
  </conditionalFormatting>
  <conditionalFormatting sqref="AH27">
    <cfRule type="expression" priority="865" dxfId="2">
      <formula>=AND(G27&lt;('تنظیمات'!$C$5+125),H27&gt;('تنظیمات'!$C$5+120),F27&gt;0)</formula>
    </cfRule>
  </conditionalFormatting>
  <conditionalFormatting sqref="AI27">
    <cfRule type="expression" priority="866" dxfId="2">
      <formula>=AND(G27&lt;('تنظیمات'!$C$5+130),H27&gt;('تنظیمات'!$C$5+125),F27&gt;0)</formula>
    </cfRule>
  </conditionalFormatting>
  <conditionalFormatting sqref="AJ27">
    <cfRule type="expression" priority="867" dxfId="2">
      <formula>=AND(G27&lt;('تنظیمات'!$C$5+135),H27&gt;('تنظیمات'!$C$5+130),F27&gt;0)</formula>
    </cfRule>
  </conditionalFormatting>
  <conditionalFormatting sqref="AK27">
    <cfRule type="expression" priority="868" dxfId="2">
      <formula>=AND(G27&lt;('تنظیمات'!$C$5+140),H27&gt;('تنظیمات'!$C$5+135),F27&gt;0)</formula>
    </cfRule>
  </conditionalFormatting>
  <conditionalFormatting sqref="AL27">
    <cfRule type="expression" priority="869" dxfId="2">
      <formula>=AND(G27&lt;('تنظیمات'!$C$5+145),H27&gt;('تنظیمات'!$C$5+140),F27&gt;0)</formula>
    </cfRule>
  </conditionalFormatting>
  <conditionalFormatting sqref="AM27">
    <cfRule type="expression" priority="870" dxfId="2">
      <formula>=AND(G27&lt;('تنظیمات'!$C$5+150),H27&gt;('تنظیمات'!$C$5+145),F27&gt;0)</formula>
    </cfRule>
  </conditionalFormatting>
  <conditionalFormatting sqref="AN27">
    <cfRule type="expression" priority="871" dxfId="2">
      <formula>=AND(G27&lt;('تنظیمات'!$C$5+155),H27&gt;('تنظیمات'!$C$5+150),F27&gt;0)</formula>
    </cfRule>
  </conditionalFormatting>
  <conditionalFormatting sqref="AO27">
    <cfRule type="expression" priority="872" dxfId="2">
      <formula>=AND(G27&lt;('تنظیمات'!$C$5+160),H27&gt;('تنظیمات'!$C$5+155),F27&gt;0)</formula>
    </cfRule>
  </conditionalFormatting>
  <conditionalFormatting sqref="AP27">
    <cfRule type="expression" priority="873" dxfId="2">
      <formula>=AND(G27&lt;('تنظیمات'!$C$5+165),H27&gt;('تنظیمات'!$C$5+160),F27&gt;0)</formula>
    </cfRule>
  </conditionalFormatting>
  <conditionalFormatting sqref="AQ27">
    <cfRule type="expression" priority="874" dxfId="2">
      <formula>=AND(G27&lt;('تنظیمات'!$C$5+170),H27&gt;('تنظیمات'!$C$5+165),F27&gt;0)</formula>
    </cfRule>
  </conditionalFormatting>
  <conditionalFormatting sqref="AR27">
    <cfRule type="expression" priority="875" dxfId="2">
      <formula>=AND(G27&lt;('تنظیمات'!$C$5+175),H27&gt;('تنظیمات'!$C$5+170),F27&gt;0)</formula>
    </cfRule>
  </conditionalFormatting>
  <conditionalFormatting sqref="AS27">
    <cfRule type="expression" priority="876" dxfId="2">
      <formula>=AND(G27&lt;('تنظیمات'!$C$5+180),H27&gt;('تنظیمات'!$C$5+175),F27&gt;0)</formula>
    </cfRule>
  </conditionalFormatting>
  <conditionalFormatting sqref="AT27">
    <cfRule type="expression" priority="877" dxfId="2">
      <formula>=AND(G27&lt;('تنظیمات'!$C$5+185),H27&gt;('تنظیمات'!$C$5+180),F27&gt;0)</formula>
    </cfRule>
  </conditionalFormatting>
  <conditionalFormatting sqref="AU27">
    <cfRule type="expression" priority="878" dxfId="2">
      <formula>=AND(G27&lt;('تنظیمات'!$C$5+190),H27&gt;('تنظیمات'!$C$5+185),F27&gt;0)</formula>
    </cfRule>
  </conditionalFormatting>
  <conditionalFormatting sqref="AV27">
    <cfRule type="expression" priority="879" dxfId="2">
      <formula>=AND(G27&lt;('تنظیمات'!$C$5+195),H27&gt;('تنظیمات'!$C$5+190),F27&gt;0)</formula>
    </cfRule>
  </conditionalFormatting>
  <conditionalFormatting sqref="AW27">
    <cfRule type="expression" priority="880" dxfId="2">
      <formula>=AND(G27&lt;('تنظیمات'!$C$5+200),H27&gt;('تنظیمات'!$C$5+195),F27&gt;0)</formula>
    </cfRule>
  </conditionalFormatting>
  <conditionalFormatting sqref="J28">
    <cfRule type="expression" priority="881" dxfId="2">
      <formula>=AND(G28&lt;('تنظیمات'!$C$5+5),H28&gt;('تنظیمات'!$C$5+0),F28&gt;0)</formula>
    </cfRule>
  </conditionalFormatting>
  <conditionalFormatting sqref="K28">
    <cfRule type="expression" priority="882" dxfId="2">
      <formula>=AND(G28&lt;('تنظیمات'!$C$5+10),H28&gt;('تنظیمات'!$C$5+5),F28&gt;0)</formula>
    </cfRule>
  </conditionalFormatting>
  <conditionalFormatting sqref="L28">
    <cfRule type="expression" priority="883" dxfId="2">
      <formula>=AND(G28&lt;('تنظیمات'!$C$5+15),H28&gt;('تنظیمات'!$C$5+10),F28&gt;0)</formula>
    </cfRule>
  </conditionalFormatting>
  <conditionalFormatting sqref="M28">
    <cfRule type="expression" priority="884" dxfId="2">
      <formula>=AND(G28&lt;('تنظیمات'!$C$5+20),H28&gt;('تنظیمات'!$C$5+15),F28&gt;0)</formula>
    </cfRule>
  </conditionalFormatting>
  <conditionalFormatting sqref="N28">
    <cfRule type="expression" priority="885" dxfId="2">
      <formula>=AND(G28&lt;('تنظیمات'!$C$5+25),H28&gt;('تنظیمات'!$C$5+20),F28&gt;0)</formula>
    </cfRule>
  </conditionalFormatting>
  <conditionalFormatting sqref="O28">
    <cfRule type="expression" priority="886" dxfId="2">
      <formula>=AND(G28&lt;('تنظیمات'!$C$5+30),H28&gt;('تنظیمات'!$C$5+25),F28&gt;0)</formula>
    </cfRule>
  </conditionalFormatting>
  <conditionalFormatting sqref="P28">
    <cfRule type="expression" priority="887" dxfId="2">
      <formula>=AND(G28&lt;('تنظیمات'!$C$5+35),H28&gt;('تنظیمات'!$C$5+30),F28&gt;0)</formula>
    </cfRule>
  </conditionalFormatting>
  <conditionalFormatting sqref="Q28">
    <cfRule type="expression" priority="888" dxfId="2">
      <formula>=AND(G28&lt;('تنظیمات'!$C$5+40),H28&gt;('تنظیمات'!$C$5+35),F28&gt;0)</formula>
    </cfRule>
  </conditionalFormatting>
  <conditionalFormatting sqref="R28">
    <cfRule type="expression" priority="889" dxfId="2">
      <formula>=AND(G28&lt;('تنظیمات'!$C$5+45),H28&gt;('تنظیمات'!$C$5+40),F28&gt;0)</formula>
    </cfRule>
  </conditionalFormatting>
  <conditionalFormatting sqref="S28">
    <cfRule type="expression" priority="890" dxfId="2">
      <formula>=AND(G28&lt;('تنظیمات'!$C$5+50),H28&gt;('تنظیمات'!$C$5+45),F28&gt;0)</formula>
    </cfRule>
  </conditionalFormatting>
  <conditionalFormatting sqref="T28">
    <cfRule type="expression" priority="891" dxfId="2">
      <formula>=AND(G28&lt;('تنظیمات'!$C$5+55),H28&gt;('تنظیمات'!$C$5+50),F28&gt;0)</formula>
    </cfRule>
  </conditionalFormatting>
  <conditionalFormatting sqref="U28">
    <cfRule type="expression" priority="892" dxfId="2">
      <formula>=AND(G28&lt;('تنظیمات'!$C$5+60),H28&gt;('تنظیمات'!$C$5+55),F28&gt;0)</formula>
    </cfRule>
  </conditionalFormatting>
  <conditionalFormatting sqref="V28">
    <cfRule type="expression" priority="893" dxfId="2">
      <formula>=AND(G28&lt;('تنظیمات'!$C$5+65),H28&gt;('تنظیمات'!$C$5+60),F28&gt;0)</formula>
    </cfRule>
  </conditionalFormatting>
  <conditionalFormatting sqref="W28">
    <cfRule type="expression" priority="894" dxfId="2">
      <formula>=AND(G28&lt;('تنظیمات'!$C$5+70),H28&gt;('تنظیمات'!$C$5+65),F28&gt;0)</formula>
    </cfRule>
  </conditionalFormatting>
  <conditionalFormatting sqref="X28">
    <cfRule type="expression" priority="895" dxfId="2">
      <formula>=AND(G28&lt;('تنظیمات'!$C$5+75),H28&gt;('تنظیمات'!$C$5+70),F28&gt;0)</formula>
    </cfRule>
  </conditionalFormatting>
  <conditionalFormatting sqref="Y28">
    <cfRule type="expression" priority="896" dxfId="2">
      <formula>=AND(G28&lt;('تنظیمات'!$C$5+80),H28&gt;('تنظیمات'!$C$5+75),F28&gt;0)</formula>
    </cfRule>
  </conditionalFormatting>
  <conditionalFormatting sqref="Z28">
    <cfRule type="expression" priority="897" dxfId="2">
      <formula>=AND(G28&lt;('تنظیمات'!$C$5+85),H28&gt;('تنظیمات'!$C$5+80),F28&gt;0)</formula>
    </cfRule>
  </conditionalFormatting>
  <conditionalFormatting sqref="AA28">
    <cfRule type="expression" priority="898" dxfId="2">
      <formula>=AND(G28&lt;('تنظیمات'!$C$5+90),H28&gt;('تنظیمات'!$C$5+85),F28&gt;0)</formula>
    </cfRule>
  </conditionalFormatting>
  <conditionalFormatting sqref="AB28">
    <cfRule type="expression" priority="899" dxfId="2">
      <formula>=AND(G28&lt;('تنظیمات'!$C$5+95),H28&gt;('تنظیمات'!$C$5+90),F28&gt;0)</formula>
    </cfRule>
  </conditionalFormatting>
  <conditionalFormatting sqref="AC28">
    <cfRule type="expression" priority="900" dxfId="2">
      <formula>=AND(G28&lt;('تنظیمات'!$C$5+100),H28&gt;('تنظیمات'!$C$5+95),F28&gt;0)</formula>
    </cfRule>
  </conditionalFormatting>
  <conditionalFormatting sqref="AD28">
    <cfRule type="expression" priority="901" dxfId="2">
      <formula>=AND(G28&lt;('تنظیمات'!$C$5+105),H28&gt;('تنظیمات'!$C$5+100),F28&gt;0)</formula>
    </cfRule>
  </conditionalFormatting>
  <conditionalFormatting sqref="AE28">
    <cfRule type="expression" priority="902" dxfId="2">
      <formula>=AND(G28&lt;('تنظیمات'!$C$5+110),H28&gt;('تنظیمات'!$C$5+105),F28&gt;0)</formula>
    </cfRule>
  </conditionalFormatting>
  <conditionalFormatting sqref="AF28">
    <cfRule type="expression" priority="903" dxfId="2">
      <formula>=AND(G28&lt;('تنظیمات'!$C$5+115),H28&gt;('تنظیمات'!$C$5+110),F28&gt;0)</formula>
    </cfRule>
  </conditionalFormatting>
  <conditionalFormatting sqref="AG28">
    <cfRule type="expression" priority="904" dxfId="2">
      <formula>=AND(G28&lt;('تنظیمات'!$C$5+120),H28&gt;('تنظیمات'!$C$5+115),F28&gt;0)</formula>
    </cfRule>
  </conditionalFormatting>
  <conditionalFormatting sqref="AH28">
    <cfRule type="expression" priority="905" dxfId="2">
      <formula>=AND(G28&lt;('تنظیمات'!$C$5+125),H28&gt;('تنظیمات'!$C$5+120),F28&gt;0)</formula>
    </cfRule>
  </conditionalFormatting>
  <conditionalFormatting sqref="AI28">
    <cfRule type="expression" priority="906" dxfId="2">
      <formula>=AND(G28&lt;('تنظیمات'!$C$5+130),H28&gt;('تنظیمات'!$C$5+125),F28&gt;0)</formula>
    </cfRule>
  </conditionalFormatting>
  <conditionalFormatting sqref="AJ28">
    <cfRule type="expression" priority="907" dxfId="2">
      <formula>=AND(G28&lt;('تنظیمات'!$C$5+135),H28&gt;('تنظیمات'!$C$5+130),F28&gt;0)</formula>
    </cfRule>
  </conditionalFormatting>
  <conditionalFormatting sqref="AK28">
    <cfRule type="expression" priority="908" dxfId="2">
      <formula>=AND(G28&lt;('تنظیمات'!$C$5+140),H28&gt;('تنظیمات'!$C$5+135),F28&gt;0)</formula>
    </cfRule>
  </conditionalFormatting>
  <conditionalFormatting sqref="AL28">
    <cfRule type="expression" priority="909" dxfId="2">
      <formula>=AND(G28&lt;('تنظیمات'!$C$5+145),H28&gt;('تنظیمات'!$C$5+140),F28&gt;0)</formula>
    </cfRule>
  </conditionalFormatting>
  <conditionalFormatting sqref="AM28">
    <cfRule type="expression" priority="910" dxfId="2">
      <formula>=AND(G28&lt;('تنظیمات'!$C$5+150),H28&gt;('تنظیمات'!$C$5+145),F28&gt;0)</formula>
    </cfRule>
  </conditionalFormatting>
  <conditionalFormatting sqref="AN28">
    <cfRule type="expression" priority="911" dxfId="2">
      <formula>=AND(G28&lt;('تنظیمات'!$C$5+155),H28&gt;('تنظیمات'!$C$5+150),F28&gt;0)</formula>
    </cfRule>
  </conditionalFormatting>
  <conditionalFormatting sqref="AO28">
    <cfRule type="expression" priority="912" dxfId="2">
      <formula>=AND(G28&lt;('تنظیمات'!$C$5+160),H28&gt;('تنظیمات'!$C$5+155),F28&gt;0)</formula>
    </cfRule>
  </conditionalFormatting>
  <conditionalFormatting sqref="AP28">
    <cfRule type="expression" priority="913" dxfId="2">
      <formula>=AND(G28&lt;('تنظیمات'!$C$5+165),H28&gt;('تنظیمات'!$C$5+160),F28&gt;0)</formula>
    </cfRule>
  </conditionalFormatting>
  <conditionalFormatting sqref="AQ28">
    <cfRule type="expression" priority="914" dxfId="2">
      <formula>=AND(G28&lt;('تنظیمات'!$C$5+170),H28&gt;('تنظیمات'!$C$5+165),F28&gt;0)</formula>
    </cfRule>
  </conditionalFormatting>
  <conditionalFormatting sqref="AR28">
    <cfRule type="expression" priority="915" dxfId="2">
      <formula>=AND(G28&lt;('تنظیمات'!$C$5+175),H28&gt;('تنظیمات'!$C$5+170),F28&gt;0)</formula>
    </cfRule>
  </conditionalFormatting>
  <conditionalFormatting sqref="AS28">
    <cfRule type="expression" priority="916" dxfId="2">
      <formula>=AND(G28&lt;('تنظیمات'!$C$5+180),H28&gt;('تنظیمات'!$C$5+175),F28&gt;0)</formula>
    </cfRule>
  </conditionalFormatting>
  <conditionalFormatting sqref="AT28">
    <cfRule type="expression" priority="917" dxfId="2">
      <formula>=AND(G28&lt;('تنظیمات'!$C$5+185),H28&gt;('تنظیمات'!$C$5+180),F28&gt;0)</formula>
    </cfRule>
  </conditionalFormatting>
  <conditionalFormatting sqref="AU28">
    <cfRule type="expression" priority="918" dxfId="2">
      <formula>=AND(G28&lt;('تنظیمات'!$C$5+190),H28&gt;('تنظیمات'!$C$5+185),F28&gt;0)</formula>
    </cfRule>
  </conditionalFormatting>
  <conditionalFormatting sqref="AV28">
    <cfRule type="expression" priority="919" dxfId="2">
      <formula>=AND(G28&lt;('تنظیمات'!$C$5+195),H28&gt;('تنظیمات'!$C$5+190),F28&gt;0)</formula>
    </cfRule>
  </conditionalFormatting>
  <conditionalFormatting sqref="AW28">
    <cfRule type="expression" priority="920" dxfId="2">
      <formula>=AND(G28&lt;('تنظیمات'!$C$5+200),H28&gt;('تنظیمات'!$C$5+195),F28&gt;0)</formula>
    </cfRule>
  </conditionalFormatting>
  <conditionalFormatting sqref="J29">
    <cfRule type="expression" priority="921" dxfId="2">
      <formula>=AND(G29&lt;('تنظیمات'!$C$5+5),H29&gt;('تنظیمات'!$C$5+0),F29&gt;0)</formula>
    </cfRule>
  </conditionalFormatting>
  <conditionalFormatting sqref="K29">
    <cfRule type="expression" priority="922" dxfId="2">
      <formula>=AND(G29&lt;('تنظیمات'!$C$5+10),H29&gt;('تنظیمات'!$C$5+5),F29&gt;0)</formula>
    </cfRule>
  </conditionalFormatting>
  <conditionalFormatting sqref="L29">
    <cfRule type="expression" priority="923" dxfId="2">
      <formula>=AND(G29&lt;('تنظیمات'!$C$5+15),H29&gt;('تنظیمات'!$C$5+10),F29&gt;0)</formula>
    </cfRule>
  </conditionalFormatting>
  <conditionalFormatting sqref="M29">
    <cfRule type="expression" priority="924" dxfId="2">
      <formula>=AND(G29&lt;('تنظیمات'!$C$5+20),H29&gt;('تنظیمات'!$C$5+15),F29&gt;0)</formula>
    </cfRule>
  </conditionalFormatting>
  <conditionalFormatting sqref="N29">
    <cfRule type="expression" priority="925" dxfId="2">
      <formula>=AND(G29&lt;('تنظیمات'!$C$5+25),H29&gt;('تنظیمات'!$C$5+20),F29&gt;0)</formula>
    </cfRule>
  </conditionalFormatting>
  <conditionalFormatting sqref="O29">
    <cfRule type="expression" priority="926" dxfId="2">
      <formula>=AND(G29&lt;('تنظیمات'!$C$5+30),H29&gt;('تنظیمات'!$C$5+25),F29&gt;0)</formula>
    </cfRule>
  </conditionalFormatting>
  <conditionalFormatting sqref="P29">
    <cfRule type="expression" priority="927" dxfId="2">
      <formula>=AND(G29&lt;('تنظیمات'!$C$5+35),H29&gt;('تنظیمات'!$C$5+30),F29&gt;0)</formula>
    </cfRule>
  </conditionalFormatting>
  <conditionalFormatting sqref="Q29">
    <cfRule type="expression" priority="928" dxfId="2">
      <formula>=AND(G29&lt;('تنظیمات'!$C$5+40),H29&gt;('تنظیمات'!$C$5+35),F29&gt;0)</formula>
    </cfRule>
  </conditionalFormatting>
  <conditionalFormatting sqref="R29">
    <cfRule type="expression" priority="929" dxfId="2">
      <formula>=AND(G29&lt;('تنظیمات'!$C$5+45),H29&gt;('تنظیمات'!$C$5+40),F29&gt;0)</formula>
    </cfRule>
  </conditionalFormatting>
  <conditionalFormatting sqref="S29">
    <cfRule type="expression" priority="930" dxfId="2">
      <formula>=AND(G29&lt;('تنظیمات'!$C$5+50),H29&gt;('تنظیمات'!$C$5+45),F29&gt;0)</formula>
    </cfRule>
  </conditionalFormatting>
  <conditionalFormatting sqref="T29">
    <cfRule type="expression" priority="931" dxfId="2">
      <formula>=AND(G29&lt;('تنظیمات'!$C$5+55),H29&gt;('تنظیمات'!$C$5+50),F29&gt;0)</formula>
    </cfRule>
  </conditionalFormatting>
  <conditionalFormatting sqref="U29">
    <cfRule type="expression" priority="932" dxfId="2">
      <formula>=AND(G29&lt;('تنظیمات'!$C$5+60),H29&gt;('تنظیمات'!$C$5+55),F29&gt;0)</formula>
    </cfRule>
  </conditionalFormatting>
  <conditionalFormatting sqref="V29">
    <cfRule type="expression" priority="933" dxfId="2">
      <formula>=AND(G29&lt;('تنظیمات'!$C$5+65),H29&gt;('تنظیمات'!$C$5+60),F29&gt;0)</formula>
    </cfRule>
  </conditionalFormatting>
  <conditionalFormatting sqref="W29">
    <cfRule type="expression" priority="934" dxfId="2">
      <formula>=AND(G29&lt;('تنظیمات'!$C$5+70),H29&gt;('تنظیمات'!$C$5+65),F29&gt;0)</formula>
    </cfRule>
  </conditionalFormatting>
  <conditionalFormatting sqref="X29">
    <cfRule type="expression" priority="935" dxfId="2">
      <formula>=AND(G29&lt;('تنظیمات'!$C$5+75),H29&gt;('تنظیمات'!$C$5+70),F29&gt;0)</formula>
    </cfRule>
  </conditionalFormatting>
  <conditionalFormatting sqref="Y29">
    <cfRule type="expression" priority="936" dxfId="2">
      <formula>=AND(G29&lt;('تنظیمات'!$C$5+80),H29&gt;('تنظیمات'!$C$5+75),F29&gt;0)</formula>
    </cfRule>
  </conditionalFormatting>
  <conditionalFormatting sqref="Z29">
    <cfRule type="expression" priority="937" dxfId="2">
      <formula>=AND(G29&lt;('تنظیمات'!$C$5+85),H29&gt;('تنظیمات'!$C$5+80),F29&gt;0)</formula>
    </cfRule>
  </conditionalFormatting>
  <conditionalFormatting sqref="AA29">
    <cfRule type="expression" priority="938" dxfId="2">
      <formula>=AND(G29&lt;('تنظیمات'!$C$5+90),H29&gt;('تنظیمات'!$C$5+85),F29&gt;0)</formula>
    </cfRule>
  </conditionalFormatting>
  <conditionalFormatting sqref="AB29">
    <cfRule type="expression" priority="939" dxfId="2">
      <formula>=AND(G29&lt;('تنظیمات'!$C$5+95),H29&gt;('تنظیمات'!$C$5+90),F29&gt;0)</formula>
    </cfRule>
  </conditionalFormatting>
  <conditionalFormatting sqref="AC29">
    <cfRule type="expression" priority="940" dxfId="2">
      <formula>=AND(G29&lt;('تنظیمات'!$C$5+100),H29&gt;('تنظیمات'!$C$5+95),F29&gt;0)</formula>
    </cfRule>
  </conditionalFormatting>
  <conditionalFormatting sqref="AD29">
    <cfRule type="expression" priority="941" dxfId="2">
      <formula>=AND(G29&lt;('تنظیمات'!$C$5+105),H29&gt;('تنظیمات'!$C$5+100),F29&gt;0)</formula>
    </cfRule>
  </conditionalFormatting>
  <conditionalFormatting sqref="AE29">
    <cfRule type="expression" priority="942" dxfId="2">
      <formula>=AND(G29&lt;('تنظیمات'!$C$5+110),H29&gt;('تنظیمات'!$C$5+105),F29&gt;0)</formula>
    </cfRule>
  </conditionalFormatting>
  <conditionalFormatting sqref="AF29">
    <cfRule type="expression" priority="943" dxfId="2">
      <formula>=AND(G29&lt;('تنظیمات'!$C$5+115),H29&gt;('تنظیمات'!$C$5+110),F29&gt;0)</formula>
    </cfRule>
  </conditionalFormatting>
  <conditionalFormatting sqref="AG29">
    <cfRule type="expression" priority="944" dxfId="2">
      <formula>=AND(G29&lt;('تنظیمات'!$C$5+120),H29&gt;('تنظیمات'!$C$5+115),F29&gt;0)</formula>
    </cfRule>
  </conditionalFormatting>
  <conditionalFormatting sqref="AH29">
    <cfRule type="expression" priority="945" dxfId="2">
      <formula>=AND(G29&lt;('تنظیمات'!$C$5+125),H29&gt;('تنظیمات'!$C$5+120),F29&gt;0)</formula>
    </cfRule>
  </conditionalFormatting>
  <conditionalFormatting sqref="AI29">
    <cfRule type="expression" priority="946" dxfId="2">
      <formula>=AND(G29&lt;('تنظیمات'!$C$5+130),H29&gt;('تنظیمات'!$C$5+125),F29&gt;0)</formula>
    </cfRule>
  </conditionalFormatting>
  <conditionalFormatting sqref="AJ29">
    <cfRule type="expression" priority="947" dxfId="2">
      <formula>=AND(G29&lt;('تنظیمات'!$C$5+135),H29&gt;('تنظیمات'!$C$5+130),F29&gt;0)</formula>
    </cfRule>
  </conditionalFormatting>
  <conditionalFormatting sqref="AK29">
    <cfRule type="expression" priority="948" dxfId="2">
      <formula>=AND(G29&lt;('تنظیمات'!$C$5+140),H29&gt;('تنظیمات'!$C$5+135),F29&gt;0)</formula>
    </cfRule>
  </conditionalFormatting>
  <conditionalFormatting sqref="AL29">
    <cfRule type="expression" priority="949" dxfId="2">
      <formula>=AND(G29&lt;('تنظیمات'!$C$5+145),H29&gt;('تنظیمات'!$C$5+140),F29&gt;0)</formula>
    </cfRule>
  </conditionalFormatting>
  <conditionalFormatting sqref="AM29">
    <cfRule type="expression" priority="950" dxfId="2">
      <formula>=AND(G29&lt;('تنظیمات'!$C$5+150),H29&gt;('تنظیمات'!$C$5+145),F29&gt;0)</formula>
    </cfRule>
  </conditionalFormatting>
  <conditionalFormatting sqref="AN29">
    <cfRule type="expression" priority="951" dxfId="2">
      <formula>=AND(G29&lt;('تنظیمات'!$C$5+155),H29&gt;('تنظیمات'!$C$5+150),F29&gt;0)</formula>
    </cfRule>
  </conditionalFormatting>
  <conditionalFormatting sqref="AO29">
    <cfRule type="expression" priority="952" dxfId="2">
      <formula>=AND(G29&lt;('تنظیمات'!$C$5+160),H29&gt;('تنظیمات'!$C$5+155),F29&gt;0)</formula>
    </cfRule>
  </conditionalFormatting>
  <conditionalFormatting sqref="AP29">
    <cfRule type="expression" priority="953" dxfId="2">
      <formula>=AND(G29&lt;('تنظیمات'!$C$5+165),H29&gt;('تنظیمات'!$C$5+160),F29&gt;0)</formula>
    </cfRule>
  </conditionalFormatting>
  <conditionalFormatting sqref="AQ29">
    <cfRule type="expression" priority="954" dxfId="2">
      <formula>=AND(G29&lt;('تنظیمات'!$C$5+170),H29&gt;('تنظیمات'!$C$5+165),F29&gt;0)</formula>
    </cfRule>
  </conditionalFormatting>
  <conditionalFormatting sqref="AR29">
    <cfRule type="expression" priority="955" dxfId="2">
      <formula>=AND(G29&lt;('تنظیمات'!$C$5+175),H29&gt;('تنظیمات'!$C$5+170),F29&gt;0)</formula>
    </cfRule>
  </conditionalFormatting>
  <conditionalFormatting sqref="AS29">
    <cfRule type="expression" priority="956" dxfId="2">
      <formula>=AND(G29&lt;('تنظیمات'!$C$5+180),H29&gt;('تنظیمات'!$C$5+175),F29&gt;0)</formula>
    </cfRule>
  </conditionalFormatting>
  <conditionalFormatting sqref="AT29">
    <cfRule type="expression" priority="957" dxfId="2">
      <formula>=AND(G29&lt;('تنظیمات'!$C$5+185),H29&gt;('تنظیمات'!$C$5+180),F29&gt;0)</formula>
    </cfRule>
  </conditionalFormatting>
  <conditionalFormatting sqref="AU29">
    <cfRule type="expression" priority="958" dxfId="2">
      <formula>=AND(G29&lt;('تنظیمات'!$C$5+190),H29&gt;('تنظیمات'!$C$5+185),F29&gt;0)</formula>
    </cfRule>
  </conditionalFormatting>
  <conditionalFormatting sqref="AV29">
    <cfRule type="expression" priority="959" dxfId="2">
      <formula>=AND(G29&lt;('تنظیمات'!$C$5+195),H29&gt;('تنظیمات'!$C$5+190),F29&gt;0)</formula>
    </cfRule>
  </conditionalFormatting>
  <conditionalFormatting sqref="AW29">
    <cfRule type="expression" priority="960" dxfId="2">
      <formula>=AND(G29&lt;('تنظیمات'!$C$5+200),H29&gt;('تنظیمات'!$C$5+195),F29&gt;0)</formula>
    </cfRule>
  </conditionalFormatting>
  <conditionalFormatting sqref="J30">
    <cfRule type="expression" priority="961" dxfId="2">
      <formula>=AND(G30&lt;('تنظیمات'!$C$5+5),H30&gt;('تنظیمات'!$C$5+0),F30&gt;0)</formula>
    </cfRule>
  </conditionalFormatting>
  <conditionalFormatting sqref="K30">
    <cfRule type="expression" priority="962" dxfId="2">
      <formula>=AND(G30&lt;('تنظیمات'!$C$5+10),H30&gt;('تنظیمات'!$C$5+5),F30&gt;0)</formula>
    </cfRule>
  </conditionalFormatting>
  <conditionalFormatting sqref="L30">
    <cfRule type="expression" priority="963" dxfId="2">
      <formula>=AND(G30&lt;('تنظیمات'!$C$5+15),H30&gt;('تنظیمات'!$C$5+10),F30&gt;0)</formula>
    </cfRule>
  </conditionalFormatting>
  <conditionalFormatting sqref="M30">
    <cfRule type="expression" priority="964" dxfId="2">
      <formula>=AND(G30&lt;('تنظیمات'!$C$5+20),H30&gt;('تنظیمات'!$C$5+15),F30&gt;0)</formula>
    </cfRule>
  </conditionalFormatting>
  <conditionalFormatting sqref="N30">
    <cfRule type="expression" priority="965" dxfId="2">
      <formula>=AND(G30&lt;('تنظیمات'!$C$5+25),H30&gt;('تنظیمات'!$C$5+20),F30&gt;0)</formula>
    </cfRule>
  </conditionalFormatting>
  <conditionalFormatting sqref="O30">
    <cfRule type="expression" priority="966" dxfId="2">
      <formula>=AND(G30&lt;('تنظیمات'!$C$5+30),H30&gt;('تنظیمات'!$C$5+25),F30&gt;0)</formula>
    </cfRule>
  </conditionalFormatting>
  <conditionalFormatting sqref="P30">
    <cfRule type="expression" priority="967" dxfId="2">
      <formula>=AND(G30&lt;('تنظیمات'!$C$5+35),H30&gt;('تنظیمات'!$C$5+30),F30&gt;0)</formula>
    </cfRule>
  </conditionalFormatting>
  <conditionalFormatting sqref="Q30">
    <cfRule type="expression" priority="968" dxfId="2">
      <formula>=AND(G30&lt;('تنظیمات'!$C$5+40),H30&gt;('تنظیمات'!$C$5+35),F30&gt;0)</formula>
    </cfRule>
  </conditionalFormatting>
  <conditionalFormatting sqref="R30">
    <cfRule type="expression" priority="969" dxfId="2">
      <formula>=AND(G30&lt;('تنظیمات'!$C$5+45),H30&gt;('تنظیمات'!$C$5+40),F30&gt;0)</formula>
    </cfRule>
  </conditionalFormatting>
  <conditionalFormatting sqref="S30">
    <cfRule type="expression" priority="970" dxfId="2">
      <formula>=AND(G30&lt;('تنظیمات'!$C$5+50),H30&gt;('تنظیمات'!$C$5+45),F30&gt;0)</formula>
    </cfRule>
  </conditionalFormatting>
  <conditionalFormatting sqref="T30">
    <cfRule type="expression" priority="971" dxfId="2">
      <formula>=AND(G30&lt;('تنظیمات'!$C$5+55),H30&gt;('تنظیمات'!$C$5+50),F30&gt;0)</formula>
    </cfRule>
  </conditionalFormatting>
  <conditionalFormatting sqref="U30">
    <cfRule type="expression" priority="972" dxfId="2">
      <formula>=AND(G30&lt;('تنظیمات'!$C$5+60),H30&gt;('تنظیمات'!$C$5+55),F30&gt;0)</formula>
    </cfRule>
  </conditionalFormatting>
  <conditionalFormatting sqref="V30">
    <cfRule type="expression" priority="973" dxfId="2">
      <formula>=AND(G30&lt;('تنظیمات'!$C$5+65),H30&gt;('تنظیمات'!$C$5+60),F30&gt;0)</formula>
    </cfRule>
  </conditionalFormatting>
  <conditionalFormatting sqref="W30">
    <cfRule type="expression" priority="974" dxfId="2">
      <formula>=AND(G30&lt;('تنظیمات'!$C$5+70),H30&gt;('تنظیمات'!$C$5+65),F30&gt;0)</formula>
    </cfRule>
  </conditionalFormatting>
  <conditionalFormatting sqref="X30">
    <cfRule type="expression" priority="975" dxfId="2">
      <formula>=AND(G30&lt;('تنظیمات'!$C$5+75),H30&gt;('تنظیمات'!$C$5+70),F30&gt;0)</formula>
    </cfRule>
  </conditionalFormatting>
  <conditionalFormatting sqref="Y30">
    <cfRule type="expression" priority="976" dxfId="2">
      <formula>=AND(G30&lt;('تنظیمات'!$C$5+80),H30&gt;('تنظیمات'!$C$5+75),F30&gt;0)</formula>
    </cfRule>
  </conditionalFormatting>
  <conditionalFormatting sqref="Z30">
    <cfRule type="expression" priority="977" dxfId="2">
      <formula>=AND(G30&lt;('تنظیمات'!$C$5+85),H30&gt;('تنظیمات'!$C$5+80),F30&gt;0)</formula>
    </cfRule>
  </conditionalFormatting>
  <conditionalFormatting sqref="AA30">
    <cfRule type="expression" priority="978" dxfId="2">
      <formula>=AND(G30&lt;('تنظیمات'!$C$5+90),H30&gt;('تنظیمات'!$C$5+85),F30&gt;0)</formula>
    </cfRule>
  </conditionalFormatting>
  <conditionalFormatting sqref="AB30">
    <cfRule type="expression" priority="979" dxfId="2">
      <formula>=AND(G30&lt;('تنظیمات'!$C$5+95),H30&gt;('تنظیمات'!$C$5+90),F30&gt;0)</formula>
    </cfRule>
  </conditionalFormatting>
  <conditionalFormatting sqref="AC30">
    <cfRule type="expression" priority="980" dxfId="2">
      <formula>=AND(G30&lt;('تنظیمات'!$C$5+100),H30&gt;('تنظیمات'!$C$5+95),F30&gt;0)</formula>
    </cfRule>
  </conditionalFormatting>
  <conditionalFormatting sqref="AD30">
    <cfRule type="expression" priority="981" dxfId="2">
      <formula>=AND(G30&lt;('تنظیمات'!$C$5+105),H30&gt;('تنظیمات'!$C$5+100),F30&gt;0)</formula>
    </cfRule>
  </conditionalFormatting>
  <conditionalFormatting sqref="AE30">
    <cfRule type="expression" priority="982" dxfId="2">
      <formula>=AND(G30&lt;('تنظیمات'!$C$5+110),H30&gt;('تنظیمات'!$C$5+105),F30&gt;0)</formula>
    </cfRule>
  </conditionalFormatting>
  <conditionalFormatting sqref="AF30">
    <cfRule type="expression" priority="983" dxfId="2">
      <formula>=AND(G30&lt;('تنظیمات'!$C$5+115),H30&gt;('تنظیمات'!$C$5+110),F30&gt;0)</formula>
    </cfRule>
  </conditionalFormatting>
  <conditionalFormatting sqref="AG30">
    <cfRule type="expression" priority="984" dxfId="2">
      <formula>=AND(G30&lt;('تنظیمات'!$C$5+120),H30&gt;('تنظیمات'!$C$5+115),F30&gt;0)</formula>
    </cfRule>
  </conditionalFormatting>
  <conditionalFormatting sqref="AH30">
    <cfRule type="expression" priority="985" dxfId="2">
      <formula>=AND(G30&lt;('تنظیمات'!$C$5+125),H30&gt;('تنظیمات'!$C$5+120),F30&gt;0)</formula>
    </cfRule>
  </conditionalFormatting>
  <conditionalFormatting sqref="AI30">
    <cfRule type="expression" priority="986" dxfId="2">
      <formula>=AND(G30&lt;('تنظیمات'!$C$5+130),H30&gt;('تنظیمات'!$C$5+125),F30&gt;0)</formula>
    </cfRule>
  </conditionalFormatting>
  <conditionalFormatting sqref="AJ30">
    <cfRule type="expression" priority="987" dxfId="2">
      <formula>=AND(G30&lt;('تنظیمات'!$C$5+135),H30&gt;('تنظیمات'!$C$5+130),F30&gt;0)</formula>
    </cfRule>
  </conditionalFormatting>
  <conditionalFormatting sqref="AK30">
    <cfRule type="expression" priority="988" dxfId="2">
      <formula>=AND(G30&lt;('تنظیمات'!$C$5+140),H30&gt;('تنظیمات'!$C$5+135),F30&gt;0)</formula>
    </cfRule>
  </conditionalFormatting>
  <conditionalFormatting sqref="AL30">
    <cfRule type="expression" priority="989" dxfId="2">
      <formula>=AND(G30&lt;('تنظیمات'!$C$5+145),H30&gt;('تنظیمات'!$C$5+140),F30&gt;0)</formula>
    </cfRule>
  </conditionalFormatting>
  <conditionalFormatting sqref="AM30">
    <cfRule type="expression" priority="990" dxfId="2">
      <formula>=AND(G30&lt;('تنظیمات'!$C$5+150),H30&gt;('تنظیمات'!$C$5+145),F30&gt;0)</formula>
    </cfRule>
  </conditionalFormatting>
  <conditionalFormatting sqref="AN30">
    <cfRule type="expression" priority="991" dxfId="2">
      <formula>=AND(G30&lt;('تنظیمات'!$C$5+155),H30&gt;('تنظیمات'!$C$5+150),F30&gt;0)</formula>
    </cfRule>
  </conditionalFormatting>
  <conditionalFormatting sqref="AO30">
    <cfRule type="expression" priority="992" dxfId="2">
      <formula>=AND(G30&lt;('تنظیمات'!$C$5+160),H30&gt;('تنظیمات'!$C$5+155),F30&gt;0)</formula>
    </cfRule>
  </conditionalFormatting>
  <conditionalFormatting sqref="AP30">
    <cfRule type="expression" priority="993" dxfId="2">
      <formula>=AND(G30&lt;('تنظیمات'!$C$5+165),H30&gt;('تنظیمات'!$C$5+160),F30&gt;0)</formula>
    </cfRule>
  </conditionalFormatting>
  <conditionalFormatting sqref="AQ30">
    <cfRule type="expression" priority="994" dxfId="2">
      <formula>=AND(G30&lt;('تنظیمات'!$C$5+170),H30&gt;('تنظیمات'!$C$5+165),F30&gt;0)</formula>
    </cfRule>
  </conditionalFormatting>
  <conditionalFormatting sqref="AR30">
    <cfRule type="expression" priority="995" dxfId="2">
      <formula>=AND(G30&lt;('تنظیمات'!$C$5+175),H30&gt;('تنظیمات'!$C$5+170),F30&gt;0)</formula>
    </cfRule>
  </conditionalFormatting>
  <conditionalFormatting sqref="AS30">
    <cfRule type="expression" priority="996" dxfId="2">
      <formula>=AND(G30&lt;('تنظیمات'!$C$5+180),H30&gt;('تنظیمات'!$C$5+175),F30&gt;0)</formula>
    </cfRule>
  </conditionalFormatting>
  <conditionalFormatting sqref="AT30">
    <cfRule type="expression" priority="997" dxfId="2">
      <formula>=AND(G30&lt;('تنظیمات'!$C$5+185),H30&gt;('تنظیمات'!$C$5+180),F30&gt;0)</formula>
    </cfRule>
  </conditionalFormatting>
  <conditionalFormatting sqref="AU30">
    <cfRule type="expression" priority="998" dxfId="2">
      <formula>=AND(G30&lt;('تنظیمات'!$C$5+190),H30&gt;('تنظیمات'!$C$5+185),F30&gt;0)</formula>
    </cfRule>
  </conditionalFormatting>
  <conditionalFormatting sqref="AV30">
    <cfRule type="expression" priority="999" dxfId="2">
      <formula>=AND(G30&lt;('تنظیمات'!$C$5+195),H30&gt;('تنظیمات'!$C$5+190),F30&gt;0)</formula>
    </cfRule>
  </conditionalFormatting>
  <conditionalFormatting sqref="AW30">
    <cfRule type="expression" priority="1000" dxfId="2">
      <formula>=AND(G30&lt;('تنظیمات'!$C$5+200),H30&gt;('تنظیمات'!$C$5+195),F30&gt;0)</formula>
    </cfRule>
  </conditionalFormatting>
  <conditionalFormatting sqref="J31">
    <cfRule type="expression" priority="1001" dxfId="2">
      <formula>=AND(G31&lt;('تنظیمات'!$C$5+5),H31&gt;('تنظیمات'!$C$5+0),F31&gt;0)</formula>
    </cfRule>
  </conditionalFormatting>
  <conditionalFormatting sqref="K31">
    <cfRule type="expression" priority="1002" dxfId="2">
      <formula>=AND(G31&lt;('تنظیمات'!$C$5+10),H31&gt;('تنظیمات'!$C$5+5),F31&gt;0)</formula>
    </cfRule>
  </conditionalFormatting>
  <conditionalFormatting sqref="L31">
    <cfRule type="expression" priority="1003" dxfId="2">
      <formula>=AND(G31&lt;('تنظیمات'!$C$5+15),H31&gt;('تنظیمات'!$C$5+10),F31&gt;0)</formula>
    </cfRule>
  </conditionalFormatting>
  <conditionalFormatting sqref="M31">
    <cfRule type="expression" priority="1004" dxfId="2">
      <formula>=AND(G31&lt;('تنظیمات'!$C$5+20),H31&gt;('تنظیمات'!$C$5+15),F31&gt;0)</formula>
    </cfRule>
  </conditionalFormatting>
  <conditionalFormatting sqref="N31">
    <cfRule type="expression" priority="1005" dxfId="2">
      <formula>=AND(G31&lt;('تنظیمات'!$C$5+25),H31&gt;('تنظیمات'!$C$5+20),F31&gt;0)</formula>
    </cfRule>
  </conditionalFormatting>
  <conditionalFormatting sqref="O31">
    <cfRule type="expression" priority="1006" dxfId="2">
      <formula>=AND(G31&lt;('تنظیمات'!$C$5+30),H31&gt;('تنظیمات'!$C$5+25),F31&gt;0)</formula>
    </cfRule>
  </conditionalFormatting>
  <conditionalFormatting sqref="P31">
    <cfRule type="expression" priority="1007" dxfId="2">
      <formula>=AND(G31&lt;('تنظیمات'!$C$5+35),H31&gt;('تنظیمات'!$C$5+30),F31&gt;0)</formula>
    </cfRule>
  </conditionalFormatting>
  <conditionalFormatting sqref="Q31">
    <cfRule type="expression" priority="1008" dxfId="2">
      <formula>=AND(G31&lt;('تنظیمات'!$C$5+40),H31&gt;('تنظیمات'!$C$5+35),F31&gt;0)</formula>
    </cfRule>
  </conditionalFormatting>
  <conditionalFormatting sqref="R31">
    <cfRule type="expression" priority="1009" dxfId="2">
      <formula>=AND(G31&lt;('تنظیمات'!$C$5+45),H31&gt;('تنظیمات'!$C$5+40),F31&gt;0)</formula>
    </cfRule>
  </conditionalFormatting>
  <conditionalFormatting sqref="S31">
    <cfRule type="expression" priority="1010" dxfId="2">
      <formula>=AND(G31&lt;('تنظیمات'!$C$5+50),H31&gt;('تنظیمات'!$C$5+45),F31&gt;0)</formula>
    </cfRule>
  </conditionalFormatting>
  <conditionalFormatting sqref="T31">
    <cfRule type="expression" priority="1011" dxfId="2">
      <formula>=AND(G31&lt;('تنظیمات'!$C$5+55),H31&gt;('تنظیمات'!$C$5+50),F31&gt;0)</formula>
    </cfRule>
  </conditionalFormatting>
  <conditionalFormatting sqref="U31">
    <cfRule type="expression" priority="1012" dxfId="2">
      <formula>=AND(G31&lt;('تنظیمات'!$C$5+60),H31&gt;('تنظیمات'!$C$5+55),F31&gt;0)</formula>
    </cfRule>
  </conditionalFormatting>
  <conditionalFormatting sqref="V31">
    <cfRule type="expression" priority="1013" dxfId="2">
      <formula>=AND(G31&lt;('تنظیمات'!$C$5+65),H31&gt;('تنظیمات'!$C$5+60),F31&gt;0)</formula>
    </cfRule>
  </conditionalFormatting>
  <conditionalFormatting sqref="W31">
    <cfRule type="expression" priority="1014" dxfId="2">
      <formula>=AND(G31&lt;('تنظیمات'!$C$5+70),H31&gt;('تنظیمات'!$C$5+65),F31&gt;0)</formula>
    </cfRule>
  </conditionalFormatting>
  <conditionalFormatting sqref="X31">
    <cfRule type="expression" priority="1015" dxfId="2">
      <formula>=AND(G31&lt;('تنظیمات'!$C$5+75),H31&gt;('تنظیمات'!$C$5+70),F31&gt;0)</formula>
    </cfRule>
  </conditionalFormatting>
  <conditionalFormatting sqref="Y31">
    <cfRule type="expression" priority="1016" dxfId="2">
      <formula>=AND(G31&lt;('تنظیمات'!$C$5+80),H31&gt;('تنظیمات'!$C$5+75),F31&gt;0)</formula>
    </cfRule>
  </conditionalFormatting>
  <conditionalFormatting sqref="Z31">
    <cfRule type="expression" priority="1017" dxfId="2">
      <formula>=AND(G31&lt;('تنظیمات'!$C$5+85),H31&gt;('تنظیمات'!$C$5+80),F31&gt;0)</formula>
    </cfRule>
  </conditionalFormatting>
  <conditionalFormatting sqref="AA31">
    <cfRule type="expression" priority="1018" dxfId="2">
      <formula>=AND(G31&lt;('تنظیمات'!$C$5+90),H31&gt;('تنظیمات'!$C$5+85),F31&gt;0)</formula>
    </cfRule>
  </conditionalFormatting>
  <conditionalFormatting sqref="AB31">
    <cfRule type="expression" priority="1019" dxfId="2">
      <formula>=AND(G31&lt;('تنظیمات'!$C$5+95),H31&gt;('تنظیمات'!$C$5+90),F31&gt;0)</formula>
    </cfRule>
  </conditionalFormatting>
  <conditionalFormatting sqref="AC31">
    <cfRule type="expression" priority="1020" dxfId="2">
      <formula>=AND(G31&lt;('تنظیمات'!$C$5+100),H31&gt;('تنظیمات'!$C$5+95),F31&gt;0)</formula>
    </cfRule>
  </conditionalFormatting>
  <conditionalFormatting sqref="AD31">
    <cfRule type="expression" priority="1021" dxfId="2">
      <formula>=AND(G31&lt;('تنظیمات'!$C$5+105),H31&gt;('تنظیمات'!$C$5+100),F31&gt;0)</formula>
    </cfRule>
  </conditionalFormatting>
  <conditionalFormatting sqref="AE31">
    <cfRule type="expression" priority="1022" dxfId="2">
      <formula>=AND(G31&lt;('تنظیمات'!$C$5+110),H31&gt;('تنظیمات'!$C$5+105),F31&gt;0)</formula>
    </cfRule>
  </conditionalFormatting>
  <conditionalFormatting sqref="AF31">
    <cfRule type="expression" priority="1023" dxfId="2">
      <formula>=AND(G31&lt;('تنظیمات'!$C$5+115),H31&gt;('تنظیمات'!$C$5+110),F31&gt;0)</formula>
    </cfRule>
  </conditionalFormatting>
  <conditionalFormatting sqref="AG31">
    <cfRule type="expression" priority="1024" dxfId="2">
      <formula>=AND(G31&lt;('تنظیمات'!$C$5+120),H31&gt;('تنظیمات'!$C$5+115),F31&gt;0)</formula>
    </cfRule>
  </conditionalFormatting>
  <conditionalFormatting sqref="AH31">
    <cfRule type="expression" priority="1025" dxfId="2">
      <formula>=AND(G31&lt;('تنظیمات'!$C$5+125),H31&gt;('تنظیمات'!$C$5+120),F31&gt;0)</formula>
    </cfRule>
  </conditionalFormatting>
  <conditionalFormatting sqref="AI31">
    <cfRule type="expression" priority="1026" dxfId="2">
      <formula>=AND(G31&lt;('تنظیمات'!$C$5+130),H31&gt;('تنظیمات'!$C$5+125),F31&gt;0)</formula>
    </cfRule>
  </conditionalFormatting>
  <conditionalFormatting sqref="AJ31">
    <cfRule type="expression" priority="1027" dxfId="2">
      <formula>=AND(G31&lt;('تنظیمات'!$C$5+135),H31&gt;('تنظیمات'!$C$5+130),F31&gt;0)</formula>
    </cfRule>
  </conditionalFormatting>
  <conditionalFormatting sqref="AK31">
    <cfRule type="expression" priority="1028" dxfId="2">
      <formula>=AND(G31&lt;('تنظیمات'!$C$5+140),H31&gt;('تنظیمات'!$C$5+135),F31&gt;0)</formula>
    </cfRule>
  </conditionalFormatting>
  <conditionalFormatting sqref="AL31">
    <cfRule type="expression" priority="1029" dxfId="2">
      <formula>=AND(G31&lt;('تنظیمات'!$C$5+145),H31&gt;('تنظیمات'!$C$5+140),F31&gt;0)</formula>
    </cfRule>
  </conditionalFormatting>
  <conditionalFormatting sqref="AM31">
    <cfRule type="expression" priority="1030" dxfId="2">
      <formula>=AND(G31&lt;('تنظیمات'!$C$5+150),H31&gt;('تنظیمات'!$C$5+145),F31&gt;0)</formula>
    </cfRule>
  </conditionalFormatting>
  <conditionalFormatting sqref="AN31">
    <cfRule type="expression" priority="1031" dxfId="2">
      <formula>=AND(G31&lt;('تنظیمات'!$C$5+155),H31&gt;('تنظیمات'!$C$5+150),F31&gt;0)</formula>
    </cfRule>
  </conditionalFormatting>
  <conditionalFormatting sqref="AO31">
    <cfRule type="expression" priority="1032" dxfId="2">
      <formula>=AND(G31&lt;('تنظیمات'!$C$5+160),H31&gt;('تنظیمات'!$C$5+155),F31&gt;0)</formula>
    </cfRule>
  </conditionalFormatting>
  <conditionalFormatting sqref="AP31">
    <cfRule type="expression" priority="1033" dxfId="2">
      <formula>=AND(G31&lt;('تنظیمات'!$C$5+165),H31&gt;('تنظیمات'!$C$5+160),F31&gt;0)</formula>
    </cfRule>
  </conditionalFormatting>
  <conditionalFormatting sqref="AQ31">
    <cfRule type="expression" priority="1034" dxfId="2">
      <formula>=AND(G31&lt;('تنظیمات'!$C$5+170),H31&gt;('تنظیمات'!$C$5+165),F31&gt;0)</formula>
    </cfRule>
  </conditionalFormatting>
  <conditionalFormatting sqref="AR31">
    <cfRule type="expression" priority="1035" dxfId="2">
      <formula>=AND(G31&lt;('تنظیمات'!$C$5+175),H31&gt;('تنظیمات'!$C$5+170),F31&gt;0)</formula>
    </cfRule>
  </conditionalFormatting>
  <conditionalFormatting sqref="AS31">
    <cfRule type="expression" priority="1036" dxfId="2">
      <formula>=AND(G31&lt;('تنظیمات'!$C$5+180),H31&gt;('تنظیمات'!$C$5+175),F31&gt;0)</formula>
    </cfRule>
  </conditionalFormatting>
  <conditionalFormatting sqref="AT31">
    <cfRule type="expression" priority="1037" dxfId="2">
      <formula>=AND(G31&lt;('تنظیمات'!$C$5+185),H31&gt;('تنظیمات'!$C$5+180),F31&gt;0)</formula>
    </cfRule>
  </conditionalFormatting>
  <conditionalFormatting sqref="AU31">
    <cfRule type="expression" priority="1038" dxfId="2">
      <formula>=AND(G31&lt;('تنظیمات'!$C$5+190),H31&gt;('تنظیمات'!$C$5+185),F31&gt;0)</formula>
    </cfRule>
  </conditionalFormatting>
  <conditionalFormatting sqref="AV31">
    <cfRule type="expression" priority="1039" dxfId="2">
      <formula>=AND(G31&lt;('تنظیمات'!$C$5+195),H31&gt;('تنظیمات'!$C$5+190),F31&gt;0)</formula>
    </cfRule>
  </conditionalFormatting>
  <conditionalFormatting sqref="AW31">
    <cfRule type="expression" priority="1040" dxfId="2">
      <formula>=AND(G31&lt;('تنظیمات'!$C$5+200),H31&gt;('تنظیمات'!$C$5+195),F31&gt;0)</formula>
    </cfRule>
  </conditionalFormatting>
  <conditionalFormatting sqref="J32">
    <cfRule type="expression" priority="1041" dxfId="2">
      <formula>=AND(G32&lt;('تنظیمات'!$C$5+5),H32&gt;('تنظیمات'!$C$5+0),F32&gt;0)</formula>
    </cfRule>
  </conditionalFormatting>
  <conditionalFormatting sqref="K32">
    <cfRule type="expression" priority="1042" dxfId="2">
      <formula>=AND(G32&lt;('تنظیمات'!$C$5+10),H32&gt;('تنظیمات'!$C$5+5),F32&gt;0)</formula>
    </cfRule>
  </conditionalFormatting>
  <conditionalFormatting sqref="L32">
    <cfRule type="expression" priority="1043" dxfId="2">
      <formula>=AND(G32&lt;('تنظیمات'!$C$5+15),H32&gt;('تنظیمات'!$C$5+10),F32&gt;0)</formula>
    </cfRule>
  </conditionalFormatting>
  <conditionalFormatting sqref="M32">
    <cfRule type="expression" priority="1044" dxfId="2">
      <formula>=AND(G32&lt;('تنظیمات'!$C$5+20),H32&gt;('تنظیمات'!$C$5+15),F32&gt;0)</formula>
    </cfRule>
  </conditionalFormatting>
  <conditionalFormatting sqref="N32">
    <cfRule type="expression" priority="1045" dxfId="2">
      <formula>=AND(G32&lt;('تنظیمات'!$C$5+25),H32&gt;('تنظیمات'!$C$5+20),F32&gt;0)</formula>
    </cfRule>
  </conditionalFormatting>
  <conditionalFormatting sqref="O32">
    <cfRule type="expression" priority="1046" dxfId="2">
      <formula>=AND(G32&lt;('تنظیمات'!$C$5+30),H32&gt;('تنظیمات'!$C$5+25),F32&gt;0)</formula>
    </cfRule>
  </conditionalFormatting>
  <conditionalFormatting sqref="P32">
    <cfRule type="expression" priority="1047" dxfId="2">
      <formula>=AND(G32&lt;('تنظیمات'!$C$5+35),H32&gt;('تنظیمات'!$C$5+30),F32&gt;0)</formula>
    </cfRule>
  </conditionalFormatting>
  <conditionalFormatting sqref="Q32">
    <cfRule type="expression" priority="1048" dxfId="2">
      <formula>=AND(G32&lt;('تنظیمات'!$C$5+40),H32&gt;('تنظیمات'!$C$5+35),F32&gt;0)</formula>
    </cfRule>
  </conditionalFormatting>
  <conditionalFormatting sqref="R32">
    <cfRule type="expression" priority="1049" dxfId="2">
      <formula>=AND(G32&lt;('تنظیمات'!$C$5+45),H32&gt;('تنظیمات'!$C$5+40),F32&gt;0)</formula>
    </cfRule>
  </conditionalFormatting>
  <conditionalFormatting sqref="S32">
    <cfRule type="expression" priority="1050" dxfId="2">
      <formula>=AND(G32&lt;('تنظیمات'!$C$5+50),H32&gt;('تنظیمات'!$C$5+45),F32&gt;0)</formula>
    </cfRule>
  </conditionalFormatting>
  <conditionalFormatting sqref="T32">
    <cfRule type="expression" priority="1051" dxfId="2">
      <formula>=AND(G32&lt;('تنظیمات'!$C$5+55),H32&gt;('تنظیمات'!$C$5+50),F32&gt;0)</formula>
    </cfRule>
  </conditionalFormatting>
  <conditionalFormatting sqref="U32">
    <cfRule type="expression" priority="1052" dxfId="2">
      <formula>=AND(G32&lt;('تنظیمات'!$C$5+60),H32&gt;('تنظیمات'!$C$5+55),F32&gt;0)</formula>
    </cfRule>
  </conditionalFormatting>
  <conditionalFormatting sqref="V32">
    <cfRule type="expression" priority="1053" dxfId="2">
      <formula>=AND(G32&lt;('تنظیمات'!$C$5+65),H32&gt;('تنظیمات'!$C$5+60),F32&gt;0)</formula>
    </cfRule>
  </conditionalFormatting>
  <conditionalFormatting sqref="W32">
    <cfRule type="expression" priority="1054" dxfId="2">
      <formula>=AND(G32&lt;('تنظیمات'!$C$5+70),H32&gt;('تنظیمات'!$C$5+65),F32&gt;0)</formula>
    </cfRule>
  </conditionalFormatting>
  <conditionalFormatting sqref="X32">
    <cfRule type="expression" priority="1055" dxfId="2">
      <formula>=AND(G32&lt;('تنظیمات'!$C$5+75),H32&gt;('تنظیمات'!$C$5+70),F32&gt;0)</formula>
    </cfRule>
  </conditionalFormatting>
  <conditionalFormatting sqref="Y32">
    <cfRule type="expression" priority="1056" dxfId="2">
      <formula>=AND(G32&lt;('تنظیمات'!$C$5+80),H32&gt;('تنظیمات'!$C$5+75),F32&gt;0)</formula>
    </cfRule>
  </conditionalFormatting>
  <conditionalFormatting sqref="Z32">
    <cfRule type="expression" priority="1057" dxfId="2">
      <formula>=AND(G32&lt;('تنظیمات'!$C$5+85),H32&gt;('تنظیمات'!$C$5+80),F32&gt;0)</formula>
    </cfRule>
  </conditionalFormatting>
  <conditionalFormatting sqref="AA32">
    <cfRule type="expression" priority="1058" dxfId="2">
      <formula>=AND(G32&lt;('تنظیمات'!$C$5+90),H32&gt;('تنظیمات'!$C$5+85),F32&gt;0)</formula>
    </cfRule>
  </conditionalFormatting>
  <conditionalFormatting sqref="AB32">
    <cfRule type="expression" priority="1059" dxfId="2">
      <formula>=AND(G32&lt;('تنظیمات'!$C$5+95),H32&gt;('تنظیمات'!$C$5+90),F32&gt;0)</formula>
    </cfRule>
  </conditionalFormatting>
  <conditionalFormatting sqref="AC32">
    <cfRule type="expression" priority="1060" dxfId="2">
      <formula>=AND(G32&lt;('تنظیمات'!$C$5+100),H32&gt;('تنظیمات'!$C$5+95),F32&gt;0)</formula>
    </cfRule>
  </conditionalFormatting>
  <conditionalFormatting sqref="AD32">
    <cfRule type="expression" priority="1061" dxfId="2">
      <formula>=AND(G32&lt;('تنظیمات'!$C$5+105),H32&gt;('تنظیمات'!$C$5+100),F32&gt;0)</formula>
    </cfRule>
  </conditionalFormatting>
  <conditionalFormatting sqref="AE32">
    <cfRule type="expression" priority="1062" dxfId="2">
      <formula>=AND(G32&lt;('تنظیمات'!$C$5+110),H32&gt;('تنظیمات'!$C$5+105),F32&gt;0)</formula>
    </cfRule>
  </conditionalFormatting>
  <conditionalFormatting sqref="AF32">
    <cfRule type="expression" priority="1063" dxfId="2">
      <formula>=AND(G32&lt;('تنظیمات'!$C$5+115),H32&gt;('تنظیمات'!$C$5+110),F32&gt;0)</formula>
    </cfRule>
  </conditionalFormatting>
  <conditionalFormatting sqref="AG32">
    <cfRule type="expression" priority="1064" dxfId="2">
      <formula>=AND(G32&lt;('تنظیمات'!$C$5+120),H32&gt;('تنظیمات'!$C$5+115),F32&gt;0)</formula>
    </cfRule>
  </conditionalFormatting>
  <conditionalFormatting sqref="AH32">
    <cfRule type="expression" priority="1065" dxfId="2">
      <formula>=AND(G32&lt;('تنظیمات'!$C$5+125),H32&gt;('تنظیمات'!$C$5+120),F32&gt;0)</formula>
    </cfRule>
  </conditionalFormatting>
  <conditionalFormatting sqref="AI32">
    <cfRule type="expression" priority="1066" dxfId="2">
      <formula>=AND(G32&lt;('تنظیمات'!$C$5+130),H32&gt;('تنظیمات'!$C$5+125),F32&gt;0)</formula>
    </cfRule>
  </conditionalFormatting>
  <conditionalFormatting sqref="AJ32">
    <cfRule type="expression" priority="1067" dxfId="2">
      <formula>=AND(G32&lt;('تنظیمات'!$C$5+135),H32&gt;('تنظیمات'!$C$5+130),F32&gt;0)</formula>
    </cfRule>
  </conditionalFormatting>
  <conditionalFormatting sqref="AK32">
    <cfRule type="expression" priority="1068" dxfId="2">
      <formula>=AND(G32&lt;('تنظیمات'!$C$5+140),H32&gt;('تنظیمات'!$C$5+135),F32&gt;0)</formula>
    </cfRule>
  </conditionalFormatting>
  <conditionalFormatting sqref="AL32">
    <cfRule type="expression" priority="1069" dxfId="2">
      <formula>=AND(G32&lt;('تنظیمات'!$C$5+145),H32&gt;('تنظیمات'!$C$5+140),F32&gt;0)</formula>
    </cfRule>
  </conditionalFormatting>
  <conditionalFormatting sqref="AM32">
    <cfRule type="expression" priority="1070" dxfId="2">
      <formula>=AND(G32&lt;('تنظیمات'!$C$5+150),H32&gt;('تنظیمات'!$C$5+145),F32&gt;0)</formula>
    </cfRule>
  </conditionalFormatting>
  <conditionalFormatting sqref="AN32">
    <cfRule type="expression" priority="1071" dxfId="2">
      <formula>=AND(G32&lt;('تنظیمات'!$C$5+155),H32&gt;('تنظیمات'!$C$5+150),F32&gt;0)</formula>
    </cfRule>
  </conditionalFormatting>
  <conditionalFormatting sqref="AO32">
    <cfRule type="expression" priority="1072" dxfId="2">
      <formula>=AND(G32&lt;('تنظیمات'!$C$5+160),H32&gt;('تنظیمات'!$C$5+155),F32&gt;0)</formula>
    </cfRule>
  </conditionalFormatting>
  <conditionalFormatting sqref="AP32">
    <cfRule type="expression" priority="1073" dxfId="2">
      <formula>=AND(G32&lt;('تنظیمات'!$C$5+165),H32&gt;('تنظیمات'!$C$5+160),F32&gt;0)</formula>
    </cfRule>
  </conditionalFormatting>
  <conditionalFormatting sqref="AQ32">
    <cfRule type="expression" priority="1074" dxfId="2">
      <formula>=AND(G32&lt;('تنظیمات'!$C$5+170),H32&gt;('تنظیمات'!$C$5+165),F32&gt;0)</formula>
    </cfRule>
  </conditionalFormatting>
  <conditionalFormatting sqref="AR32">
    <cfRule type="expression" priority="1075" dxfId="2">
      <formula>=AND(G32&lt;('تنظیمات'!$C$5+175),H32&gt;('تنظیمات'!$C$5+170),F32&gt;0)</formula>
    </cfRule>
  </conditionalFormatting>
  <conditionalFormatting sqref="AS32">
    <cfRule type="expression" priority="1076" dxfId="2">
      <formula>=AND(G32&lt;('تنظیمات'!$C$5+180),H32&gt;('تنظیمات'!$C$5+175),F32&gt;0)</formula>
    </cfRule>
  </conditionalFormatting>
  <conditionalFormatting sqref="AT32">
    <cfRule type="expression" priority="1077" dxfId="2">
      <formula>=AND(G32&lt;('تنظیمات'!$C$5+185),H32&gt;('تنظیمات'!$C$5+180),F32&gt;0)</formula>
    </cfRule>
  </conditionalFormatting>
  <conditionalFormatting sqref="AU32">
    <cfRule type="expression" priority="1078" dxfId="2">
      <formula>=AND(G32&lt;('تنظیمات'!$C$5+190),H32&gt;('تنظیمات'!$C$5+185),F32&gt;0)</formula>
    </cfRule>
  </conditionalFormatting>
  <conditionalFormatting sqref="AV32">
    <cfRule type="expression" priority="1079" dxfId="2">
      <formula>=AND(G32&lt;('تنظیمات'!$C$5+195),H32&gt;('تنظیمات'!$C$5+190),F32&gt;0)</formula>
    </cfRule>
  </conditionalFormatting>
  <conditionalFormatting sqref="AW32">
    <cfRule type="expression" priority="1080" dxfId="2">
      <formula>=AND(G32&lt;('تنظیمات'!$C$5+200),H32&gt;('تنظیمات'!$C$5+195),F32&gt;0)</formula>
    </cfRule>
  </conditionalFormatting>
  <conditionalFormatting sqref="J33">
    <cfRule type="expression" priority="1081" dxfId="2">
      <formula>=AND(G33&lt;('تنظیمات'!$C$5+5),H33&gt;('تنظیمات'!$C$5+0),F33&gt;0)</formula>
    </cfRule>
  </conditionalFormatting>
  <conditionalFormatting sqref="K33">
    <cfRule type="expression" priority="1082" dxfId="2">
      <formula>=AND(G33&lt;('تنظیمات'!$C$5+10),H33&gt;('تنظیمات'!$C$5+5),F33&gt;0)</formula>
    </cfRule>
  </conditionalFormatting>
  <conditionalFormatting sqref="L33">
    <cfRule type="expression" priority="1083" dxfId="2">
      <formula>=AND(G33&lt;('تنظیمات'!$C$5+15),H33&gt;('تنظیمات'!$C$5+10),F33&gt;0)</formula>
    </cfRule>
  </conditionalFormatting>
  <conditionalFormatting sqref="M33">
    <cfRule type="expression" priority="1084" dxfId="2">
      <formula>=AND(G33&lt;('تنظیمات'!$C$5+20),H33&gt;('تنظیمات'!$C$5+15),F33&gt;0)</formula>
    </cfRule>
  </conditionalFormatting>
  <conditionalFormatting sqref="N33">
    <cfRule type="expression" priority="1085" dxfId="2">
      <formula>=AND(G33&lt;('تنظیمات'!$C$5+25),H33&gt;('تنظیمات'!$C$5+20),F33&gt;0)</formula>
    </cfRule>
  </conditionalFormatting>
  <conditionalFormatting sqref="O33">
    <cfRule type="expression" priority="1086" dxfId="2">
      <formula>=AND(G33&lt;('تنظیمات'!$C$5+30),H33&gt;('تنظیمات'!$C$5+25),F33&gt;0)</formula>
    </cfRule>
  </conditionalFormatting>
  <conditionalFormatting sqref="P33">
    <cfRule type="expression" priority="1087" dxfId="2">
      <formula>=AND(G33&lt;('تنظیمات'!$C$5+35),H33&gt;('تنظیمات'!$C$5+30),F33&gt;0)</formula>
    </cfRule>
  </conditionalFormatting>
  <conditionalFormatting sqref="Q33">
    <cfRule type="expression" priority="1088" dxfId="2">
      <formula>=AND(G33&lt;('تنظیمات'!$C$5+40),H33&gt;('تنظیمات'!$C$5+35),F33&gt;0)</formula>
    </cfRule>
  </conditionalFormatting>
  <conditionalFormatting sqref="R33">
    <cfRule type="expression" priority="1089" dxfId="2">
      <formula>=AND(G33&lt;('تنظیمات'!$C$5+45),H33&gt;('تنظیمات'!$C$5+40),F33&gt;0)</formula>
    </cfRule>
  </conditionalFormatting>
  <conditionalFormatting sqref="S33">
    <cfRule type="expression" priority="1090" dxfId="2">
      <formula>=AND(G33&lt;('تنظیمات'!$C$5+50),H33&gt;('تنظیمات'!$C$5+45),F33&gt;0)</formula>
    </cfRule>
  </conditionalFormatting>
  <conditionalFormatting sqref="T33">
    <cfRule type="expression" priority="1091" dxfId="2">
      <formula>=AND(G33&lt;('تنظیمات'!$C$5+55),H33&gt;('تنظیمات'!$C$5+50),F33&gt;0)</formula>
    </cfRule>
  </conditionalFormatting>
  <conditionalFormatting sqref="U33">
    <cfRule type="expression" priority="1092" dxfId="2">
      <formula>=AND(G33&lt;('تنظیمات'!$C$5+60),H33&gt;('تنظیمات'!$C$5+55),F33&gt;0)</formula>
    </cfRule>
  </conditionalFormatting>
  <conditionalFormatting sqref="V33">
    <cfRule type="expression" priority="1093" dxfId="2">
      <formula>=AND(G33&lt;('تنظیمات'!$C$5+65),H33&gt;('تنظیمات'!$C$5+60),F33&gt;0)</formula>
    </cfRule>
  </conditionalFormatting>
  <conditionalFormatting sqref="W33">
    <cfRule type="expression" priority="1094" dxfId="2">
      <formula>=AND(G33&lt;('تنظیمات'!$C$5+70),H33&gt;('تنظیمات'!$C$5+65),F33&gt;0)</formula>
    </cfRule>
  </conditionalFormatting>
  <conditionalFormatting sqref="X33">
    <cfRule type="expression" priority="1095" dxfId="2">
      <formula>=AND(G33&lt;('تنظیمات'!$C$5+75),H33&gt;('تنظیمات'!$C$5+70),F33&gt;0)</formula>
    </cfRule>
  </conditionalFormatting>
  <conditionalFormatting sqref="Y33">
    <cfRule type="expression" priority="1096" dxfId="2">
      <formula>=AND(G33&lt;('تنظیمات'!$C$5+80),H33&gt;('تنظیمات'!$C$5+75),F33&gt;0)</formula>
    </cfRule>
  </conditionalFormatting>
  <conditionalFormatting sqref="Z33">
    <cfRule type="expression" priority="1097" dxfId="2">
      <formula>=AND(G33&lt;('تنظیمات'!$C$5+85),H33&gt;('تنظیمات'!$C$5+80),F33&gt;0)</formula>
    </cfRule>
  </conditionalFormatting>
  <conditionalFormatting sqref="AA33">
    <cfRule type="expression" priority="1098" dxfId="2">
      <formula>=AND(G33&lt;('تنظیمات'!$C$5+90),H33&gt;('تنظیمات'!$C$5+85),F33&gt;0)</formula>
    </cfRule>
  </conditionalFormatting>
  <conditionalFormatting sqref="AB33">
    <cfRule type="expression" priority="1099" dxfId="2">
      <formula>=AND(G33&lt;('تنظیمات'!$C$5+95),H33&gt;('تنظیمات'!$C$5+90),F33&gt;0)</formula>
    </cfRule>
  </conditionalFormatting>
  <conditionalFormatting sqref="AC33">
    <cfRule type="expression" priority="1100" dxfId="2">
      <formula>=AND(G33&lt;('تنظیمات'!$C$5+100),H33&gt;('تنظیمات'!$C$5+95),F33&gt;0)</formula>
    </cfRule>
  </conditionalFormatting>
  <conditionalFormatting sqref="AD33">
    <cfRule type="expression" priority="1101" dxfId="2">
      <formula>=AND(G33&lt;('تنظیمات'!$C$5+105),H33&gt;('تنظیمات'!$C$5+100),F33&gt;0)</formula>
    </cfRule>
  </conditionalFormatting>
  <conditionalFormatting sqref="AE33">
    <cfRule type="expression" priority="1102" dxfId="2">
      <formula>=AND(G33&lt;('تنظیمات'!$C$5+110),H33&gt;('تنظیمات'!$C$5+105),F33&gt;0)</formula>
    </cfRule>
  </conditionalFormatting>
  <conditionalFormatting sqref="AF33">
    <cfRule type="expression" priority="1103" dxfId="2">
      <formula>=AND(G33&lt;('تنظیمات'!$C$5+115),H33&gt;('تنظیمات'!$C$5+110),F33&gt;0)</formula>
    </cfRule>
  </conditionalFormatting>
  <conditionalFormatting sqref="AG33">
    <cfRule type="expression" priority="1104" dxfId="2">
      <formula>=AND(G33&lt;('تنظیمات'!$C$5+120),H33&gt;('تنظیمات'!$C$5+115),F33&gt;0)</formula>
    </cfRule>
  </conditionalFormatting>
  <conditionalFormatting sqref="AH33">
    <cfRule type="expression" priority="1105" dxfId="2">
      <formula>=AND(G33&lt;('تنظیمات'!$C$5+125),H33&gt;('تنظیمات'!$C$5+120),F33&gt;0)</formula>
    </cfRule>
  </conditionalFormatting>
  <conditionalFormatting sqref="AI33">
    <cfRule type="expression" priority="1106" dxfId="2">
      <formula>=AND(G33&lt;('تنظیمات'!$C$5+130),H33&gt;('تنظیمات'!$C$5+125),F33&gt;0)</formula>
    </cfRule>
  </conditionalFormatting>
  <conditionalFormatting sqref="AJ33">
    <cfRule type="expression" priority="1107" dxfId="2">
      <formula>=AND(G33&lt;('تنظیمات'!$C$5+135),H33&gt;('تنظیمات'!$C$5+130),F33&gt;0)</formula>
    </cfRule>
  </conditionalFormatting>
  <conditionalFormatting sqref="AK33">
    <cfRule type="expression" priority="1108" dxfId="2">
      <formula>=AND(G33&lt;('تنظیمات'!$C$5+140),H33&gt;('تنظیمات'!$C$5+135),F33&gt;0)</formula>
    </cfRule>
  </conditionalFormatting>
  <conditionalFormatting sqref="AL33">
    <cfRule type="expression" priority="1109" dxfId="2">
      <formula>=AND(G33&lt;('تنظیمات'!$C$5+145),H33&gt;('تنظیمات'!$C$5+140),F33&gt;0)</formula>
    </cfRule>
  </conditionalFormatting>
  <conditionalFormatting sqref="AM33">
    <cfRule type="expression" priority="1110" dxfId="2">
      <formula>=AND(G33&lt;('تنظیمات'!$C$5+150),H33&gt;('تنظیمات'!$C$5+145),F33&gt;0)</formula>
    </cfRule>
  </conditionalFormatting>
  <conditionalFormatting sqref="AN33">
    <cfRule type="expression" priority="1111" dxfId="2">
      <formula>=AND(G33&lt;('تنظیمات'!$C$5+155),H33&gt;('تنظیمات'!$C$5+150),F33&gt;0)</formula>
    </cfRule>
  </conditionalFormatting>
  <conditionalFormatting sqref="AO33">
    <cfRule type="expression" priority="1112" dxfId="2">
      <formula>=AND(G33&lt;('تنظیمات'!$C$5+160),H33&gt;('تنظیمات'!$C$5+155),F33&gt;0)</formula>
    </cfRule>
  </conditionalFormatting>
  <conditionalFormatting sqref="AP33">
    <cfRule type="expression" priority="1113" dxfId="2">
      <formula>=AND(G33&lt;('تنظیمات'!$C$5+165),H33&gt;('تنظیمات'!$C$5+160),F33&gt;0)</formula>
    </cfRule>
  </conditionalFormatting>
  <conditionalFormatting sqref="AQ33">
    <cfRule type="expression" priority="1114" dxfId="2">
      <formula>=AND(G33&lt;('تنظیمات'!$C$5+170),H33&gt;('تنظیمات'!$C$5+165),F33&gt;0)</formula>
    </cfRule>
  </conditionalFormatting>
  <conditionalFormatting sqref="AR33">
    <cfRule type="expression" priority="1115" dxfId="2">
      <formula>=AND(G33&lt;('تنظیمات'!$C$5+175),H33&gt;('تنظیمات'!$C$5+170),F33&gt;0)</formula>
    </cfRule>
  </conditionalFormatting>
  <conditionalFormatting sqref="AS33">
    <cfRule type="expression" priority="1116" dxfId="2">
      <formula>=AND(G33&lt;('تنظیمات'!$C$5+180),H33&gt;('تنظیمات'!$C$5+175),F33&gt;0)</formula>
    </cfRule>
  </conditionalFormatting>
  <conditionalFormatting sqref="AT33">
    <cfRule type="expression" priority="1117" dxfId="2">
      <formula>=AND(G33&lt;('تنظیمات'!$C$5+185),H33&gt;('تنظیمات'!$C$5+180),F33&gt;0)</formula>
    </cfRule>
  </conditionalFormatting>
  <conditionalFormatting sqref="AU33">
    <cfRule type="expression" priority="1118" dxfId="2">
      <formula>=AND(G33&lt;('تنظیمات'!$C$5+190),H33&gt;('تنظیمات'!$C$5+185),F33&gt;0)</formula>
    </cfRule>
  </conditionalFormatting>
  <conditionalFormatting sqref="AV33">
    <cfRule type="expression" priority="1119" dxfId="2">
      <formula>=AND(G33&lt;('تنظیمات'!$C$5+195),H33&gt;('تنظیمات'!$C$5+190),F33&gt;0)</formula>
    </cfRule>
  </conditionalFormatting>
  <conditionalFormatting sqref="AW33">
    <cfRule type="expression" priority="1120" dxfId="2">
      <formula>=AND(G33&lt;('تنظیمات'!$C$5+200),H33&gt;('تنظیمات'!$C$5+195),F33&gt;0)</formula>
    </cfRule>
  </conditionalFormatting>
  <conditionalFormatting sqref="J34">
    <cfRule type="expression" priority="1121" dxfId="2">
      <formula>=AND(G34&lt;('تنظیمات'!$C$5+5),H34&gt;('تنظیمات'!$C$5+0),F34&gt;0)</formula>
    </cfRule>
  </conditionalFormatting>
  <conditionalFormatting sqref="K34">
    <cfRule type="expression" priority="1122" dxfId="2">
      <formula>=AND(G34&lt;('تنظیمات'!$C$5+10),H34&gt;('تنظیمات'!$C$5+5),F34&gt;0)</formula>
    </cfRule>
  </conditionalFormatting>
  <conditionalFormatting sqref="L34">
    <cfRule type="expression" priority="1123" dxfId="2">
      <formula>=AND(G34&lt;('تنظیمات'!$C$5+15),H34&gt;('تنظیمات'!$C$5+10),F34&gt;0)</formula>
    </cfRule>
  </conditionalFormatting>
  <conditionalFormatting sqref="M34">
    <cfRule type="expression" priority="1124" dxfId="2">
      <formula>=AND(G34&lt;('تنظیمات'!$C$5+20),H34&gt;('تنظیمات'!$C$5+15),F34&gt;0)</formula>
    </cfRule>
  </conditionalFormatting>
  <conditionalFormatting sqref="N34">
    <cfRule type="expression" priority="1125" dxfId="2">
      <formula>=AND(G34&lt;('تنظیمات'!$C$5+25),H34&gt;('تنظیمات'!$C$5+20),F34&gt;0)</formula>
    </cfRule>
  </conditionalFormatting>
  <conditionalFormatting sqref="O34">
    <cfRule type="expression" priority="1126" dxfId="2">
      <formula>=AND(G34&lt;('تنظیمات'!$C$5+30),H34&gt;('تنظیمات'!$C$5+25),F34&gt;0)</formula>
    </cfRule>
  </conditionalFormatting>
  <conditionalFormatting sqref="P34">
    <cfRule type="expression" priority="1127" dxfId="2">
      <formula>=AND(G34&lt;('تنظیمات'!$C$5+35),H34&gt;('تنظیمات'!$C$5+30),F34&gt;0)</formula>
    </cfRule>
  </conditionalFormatting>
  <conditionalFormatting sqref="Q34">
    <cfRule type="expression" priority="1128" dxfId="2">
      <formula>=AND(G34&lt;('تنظیمات'!$C$5+40),H34&gt;('تنظیمات'!$C$5+35),F34&gt;0)</formula>
    </cfRule>
  </conditionalFormatting>
  <conditionalFormatting sqref="R34">
    <cfRule type="expression" priority="1129" dxfId="2">
      <formula>=AND(G34&lt;('تنظیمات'!$C$5+45),H34&gt;('تنظیمات'!$C$5+40),F34&gt;0)</formula>
    </cfRule>
  </conditionalFormatting>
  <conditionalFormatting sqref="S34">
    <cfRule type="expression" priority="1130" dxfId="2">
      <formula>=AND(G34&lt;('تنظیمات'!$C$5+50),H34&gt;('تنظیمات'!$C$5+45),F34&gt;0)</formula>
    </cfRule>
  </conditionalFormatting>
  <conditionalFormatting sqref="T34">
    <cfRule type="expression" priority="1131" dxfId="2">
      <formula>=AND(G34&lt;('تنظیمات'!$C$5+55),H34&gt;('تنظیمات'!$C$5+50),F34&gt;0)</formula>
    </cfRule>
  </conditionalFormatting>
  <conditionalFormatting sqref="U34">
    <cfRule type="expression" priority="1132" dxfId="2">
      <formula>=AND(G34&lt;('تنظیمات'!$C$5+60),H34&gt;('تنظیمات'!$C$5+55),F34&gt;0)</formula>
    </cfRule>
  </conditionalFormatting>
  <conditionalFormatting sqref="V34">
    <cfRule type="expression" priority="1133" dxfId="2">
      <formula>=AND(G34&lt;('تنظیمات'!$C$5+65),H34&gt;('تنظیمات'!$C$5+60),F34&gt;0)</formula>
    </cfRule>
  </conditionalFormatting>
  <conditionalFormatting sqref="W34">
    <cfRule type="expression" priority="1134" dxfId="2">
      <formula>=AND(G34&lt;('تنظیمات'!$C$5+70),H34&gt;('تنظیمات'!$C$5+65),F34&gt;0)</formula>
    </cfRule>
  </conditionalFormatting>
  <conditionalFormatting sqref="X34">
    <cfRule type="expression" priority="1135" dxfId="2">
      <formula>=AND(G34&lt;('تنظیمات'!$C$5+75),H34&gt;('تنظیمات'!$C$5+70),F34&gt;0)</formula>
    </cfRule>
  </conditionalFormatting>
  <conditionalFormatting sqref="Y34">
    <cfRule type="expression" priority="1136" dxfId="2">
      <formula>=AND(G34&lt;('تنظیمات'!$C$5+80),H34&gt;('تنظیمات'!$C$5+75),F34&gt;0)</formula>
    </cfRule>
  </conditionalFormatting>
  <conditionalFormatting sqref="Z34">
    <cfRule type="expression" priority="1137" dxfId="2">
      <formula>=AND(G34&lt;('تنظیمات'!$C$5+85),H34&gt;('تنظیمات'!$C$5+80),F34&gt;0)</formula>
    </cfRule>
  </conditionalFormatting>
  <conditionalFormatting sqref="AA34">
    <cfRule type="expression" priority="1138" dxfId="2">
      <formula>=AND(G34&lt;('تنظیمات'!$C$5+90),H34&gt;('تنظیمات'!$C$5+85),F34&gt;0)</formula>
    </cfRule>
  </conditionalFormatting>
  <conditionalFormatting sqref="AB34">
    <cfRule type="expression" priority="1139" dxfId="2">
      <formula>=AND(G34&lt;('تنظیمات'!$C$5+95),H34&gt;('تنظیمات'!$C$5+90),F34&gt;0)</formula>
    </cfRule>
  </conditionalFormatting>
  <conditionalFormatting sqref="AC34">
    <cfRule type="expression" priority="1140" dxfId="2">
      <formula>=AND(G34&lt;('تنظیمات'!$C$5+100),H34&gt;('تنظیمات'!$C$5+95),F34&gt;0)</formula>
    </cfRule>
  </conditionalFormatting>
  <conditionalFormatting sqref="AD34">
    <cfRule type="expression" priority="1141" dxfId="2">
      <formula>=AND(G34&lt;('تنظیمات'!$C$5+105),H34&gt;('تنظیمات'!$C$5+100),F34&gt;0)</formula>
    </cfRule>
  </conditionalFormatting>
  <conditionalFormatting sqref="AE34">
    <cfRule type="expression" priority="1142" dxfId="2">
      <formula>=AND(G34&lt;('تنظیمات'!$C$5+110),H34&gt;('تنظیمات'!$C$5+105),F34&gt;0)</formula>
    </cfRule>
  </conditionalFormatting>
  <conditionalFormatting sqref="AF34">
    <cfRule type="expression" priority="1143" dxfId="2">
      <formula>=AND(G34&lt;('تنظیمات'!$C$5+115),H34&gt;('تنظیمات'!$C$5+110),F34&gt;0)</formula>
    </cfRule>
  </conditionalFormatting>
  <conditionalFormatting sqref="AG34">
    <cfRule type="expression" priority="1144" dxfId="2">
      <formula>=AND(G34&lt;('تنظیمات'!$C$5+120),H34&gt;('تنظیمات'!$C$5+115),F34&gt;0)</formula>
    </cfRule>
  </conditionalFormatting>
  <conditionalFormatting sqref="AH34">
    <cfRule type="expression" priority="1145" dxfId="2">
      <formula>=AND(G34&lt;('تنظیمات'!$C$5+125),H34&gt;('تنظیمات'!$C$5+120),F34&gt;0)</formula>
    </cfRule>
  </conditionalFormatting>
  <conditionalFormatting sqref="AI34">
    <cfRule type="expression" priority="1146" dxfId="2">
      <formula>=AND(G34&lt;('تنظیمات'!$C$5+130),H34&gt;('تنظیمات'!$C$5+125),F34&gt;0)</formula>
    </cfRule>
  </conditionalFormatting>
  <conditionalFormatting sqref="AJ34">
    <cfRule type="expression" priority="1147" dxfId="2">
      <formula>=AND(G34&lt;('تنظیمات'!$C$5+135),H34&gt;('تنظیمات'!$C$5+130),F34&gt;0)</formula>
    </cfRule>
  </conditionalFormatting>
  <conditionalFormatting sqref="AK34">
    <cfRule type="expression" priority="1148" dxfId="2">
      <formula>=AND(G34&lt;('تنظیمات'!$C$5+140),H34&gt;('تنظیمات'!$C$5+135),F34&gt;0)</formula>
    </cfRule>
  </conditionalFormatting>
  <conditionalFormatting sqref="AL34">
    <cfRule type="expression" priority="1149" dxfId="2">
      <formula>=AND(G34&lt;('تنظیمات'!$C$5+145),H34&gt;('تنظیمات'!$C$5+140),F34&gt;0)</formula>
    </cfRule>
  </conditionalFormatting>
  <conditionalFormatting sqref="AM34">
    <cfRule type="expression" priority="1150" dxfId="2">
      <formula>=AND(G34&lt;('تنظیمات'!$C$5+150),H34&gt;('تنظیمات'!$C$5+145),F34&gt;0)</formula>
    </cfRule>
  </conditionalFormatting>
  <conditionalFormatting sqref="AN34">
    <cfRule type="expression" priority="1151" dxfId="2">
      <formula>=AND(G34&lt;('تنظیمات'!$C$5+155),H34&gt;('تنظیمات'!$C$5+150),F34&gt;0)</formula>
    </cfRule>
  </conditionalFormatting>
  <conditionalFormatting sqref="AO34">
    <cfRule type="expression" priority="1152" dxfId="2">
      <formula>=AND(G34&lt;('تنظیمات'!$C$5+160),H34&gt;('تنظیمات'!$C$5+155),F34&gt;0)</formula>
    </cfRule>
  </conditionalFormatting>
  <conditionalFormatting sqref="AP34">
    <cfRule type="expression" priority="1153" dxfId="2">
      <formula>=AND(G34&lt;('تنظیمات'!$C$5+165),H34&gt;('تنظیمات'!$C$5+160),F34&gt;0)</formula>
    </cfRule>
  </conditionalFormatting>
  <conditionalFormatting sqref="AQ34">
    <cfRule type="expression" priority="1154" dxfId="2">
      <formula>=AND(G34&lt;('تنظیمات'!$C$5+170),H34&gt;('تنظیمات'!$C$5+165),F34&gt;0)</formula>
    </cfRule>
  </conditionalFormatting>
  <conditionalFormatting sqref="AR34">
    <cfRule type="expression" priority="1155" dxfId="2">
      <formula>=AND(G34&lt;('تنظیمات'!$C$5+175),H34&gt;('تنظیمات'!$C$5+170),F34&gt;0)</formula>
    </cfRule>
  </conditionalFormatting>
  <conditionalFormatting sqref="AS34">
    <cfRule type="expression" priority="1156" dxfId="2">
      <formula>=AND(G34&lt;('تنظیمات'!$C$5+180),H34&gt;('تنظیمات'!$C$5+175),F34&gt;0)</formula>
    </cfRule>
  </conditionalFormatting>
  <conditionalFormatting sqref="AT34">
    <cfRule type="expression" priority="1157" dxfId="2">
      <formula>=AND(G34&lt;('تنظیمات'!$C$5+185),H34&gt;('تنظیمات'!$C$5+180),F34&gt;0)</formula>
    </cfRule>
  </conditionalFormatting>
  <conditionalFormatting sqref="AU34">
    <cfRule type="expression" priority="1158" dxfId="2">
      <formula>=AND(G34&lt;('تنظیمات'!$C$5+190),H34&gt;('تنظیمات'!$C$5+185),F34&gt;0)</formula>
    </cfRule>
  </conditionalFormatting>
  <conditionalFormatting sqref="AV34">
    <cfRule type="expression" priority="1159" dxfId="2">
      <formula>=AND(G34&lt;('تنظیمات'!$C$5+195),H34&gt;('تنظیمات'!$C$5+190),F34&gt;0)</formula>
    </cfRule>
  </conditionalFormatting>
  <conditionalFormatting sqref="AW34">
    <cfRule type="expression" priority="1160" dxfId="2">
      <formula>=AND(G34&lt;('تنظیمات'!$C$5+200),H34&gt;('تنظیمات'!$C$5+195),F34&gt;0)</formula>
    </cfRule>
  </conditionalFormatting>
  <conditionalFormatting sqref="J35">
    <cfRule type="expression" priority="1161" dxfId="2">
      <formula>=AND(G35&lt;('تنظیمات'!$C$5+5),H35&gt;('تنظیمات'!$C$5+0),F35&gt;0)</formula>
    </cfRule>
  </conditionalFormatting>
  <conditionalFormatting sqref="K35">
    <cfRule type="expression" priority="1162" dxfId="2">
      <formula>=AND(G35&lt;('تنظیمات'!$C$5+10),H35&gt;('تنظیمات'!$C$5+5),F35&gt;0)</formula>
    </cfRule>
  </conditionalFormatting>
  <conditionalFormatting sqref="L35">
    <cfRule type="expression" priority="1163" dxfId="2">
      <formula>=AND(G35&lt;('تنظیمات'!$C$5+15),H35&gt;('تنظیمات'!$C$5+10),F35&gt;0)</formula>
    </cfRule>
  </conditionalFormatting>
  <conditionalFormatting sqref="M35">
    <cfRule type="expression" priority="1164" dxfId="2">
      <formula>=AND(G35&lt;('تنظیمات'!$C$5+20),H35&gt;('تنظیمات'!$C$5+15),F35&gt;0)</formula>
    </cfRule>
  </conditionalFormatting>
  <conditionalFormatting sqref="N35">
    <cfRule type="expression" priority="1165" dxfId="2">
      <formula>=AND(G35&lt;('تنظیمات'!$C$5+25),H35&gt;('تنظیمات'!$C$5+20),F35&gt;0)</formula>
    </cfRule>
  </conditionalFormatting>
  <conditionalFormatting sqref="O35">
    <cfRule type="expression" priority="1166" dxfId="2">
      <formula>=AND(G35&lt;('تنظیمات'!$C$5+30),H35&gt;('تنظیمات'!$C$5+25),F35&gt;0)</formula>
    </cfRule>
  </conditionalFormatting>
  <conditionalFormatting sqref="P35">
    <cfRule type="expression" priority="1167" dxfId="2">
      <formula>=AND(G35&lt;('تنظیمات'!$C$5+35),H35&gt;('تنظیمات'!$C$5+30),F35&gt;0)</formula>
    </cfRule>
  </conditionalFormatting>
  <conditionalFormatting sqref="Q35">
    <cfRule type="expression" priority="1168" dxfId="2">
      <formula>=AND(G35&lt;('تنظیمات'!$C$5+40),H35&gt;('تنظیمات'!$C$5+35),F35&gt;0)</formula>
    </cfRule>
  </conditionalFormatting>
  <conditionalFormatting sqref="R35">
    <cfRule type="expression" priority="1169" dxfId="2">
      <formula>=AND(G35&lt;('تنظیمات'!$C$5+45),H35&gt;('تنظیمات'!$C$5+40),F35&gt;0)</formula>
    </cfRule>
  </conditionalFormatting>
  <conditionalFormatting sqref="S35">
    <cfRule type="expression" priority="1170" dxfId="2">
      <formula>=AND(G35&lt;('تنظیمات'!$C$5+50),H35&gt;('تنظیمات'!$C$5+45),F35&gt;0)</formula>
    </cfRule>
  </conditionalFormatting>
  <conditionalFormatting sqref="T35">
    <cfRule type="expression" priority="1171" dxfId="2">
      <formula>=AND(G35&lt;('تنظیمات'!$C$5+55),H35&gt;('تنظیمات'!$C$5+50),F35&gt;0)</formula>
    </cfRule>
  </conditionalFormatting>
  <conditionalFormatting sqref="U35">
    <cfRule type="expression" priority="1172" dxfId="2">
      <formula>=AND(G35&lt;('تنظیمات'!$C$5+60),H35&gt;('تنظیمات'!$C$5+55),F35&gt;0)</formula>
    </cfRule>
  </conditionalFormatting>
  <conditionalFormatting sqref="V35">
    <cfRule type="expression" priority="1173" dxfId="2">
      <formula>=AND(G35&lt;('تنظیمات'!$C$5+65),H35&gt;('تنظیمات'!$C$5+60),F35&gt;0)</formula>
    </cfRule>
  </conditionalFormatting>
  <conditionalFormatting sqref="W35">
    <cfRule type="expression" priority="1174" dxfId="2">
      <formula>=AND(G35&lt;('تنظیمات'!$C$5+70),H35&gt;('تنظیمات'!$C$5+65),F35&gt;0)</formula>
    </cfRule>
  </conditionalFormatting>
  <conditionalFormatting sqref="X35">
    <cfRule type="expression" priority="1175" dxfId="2">
      <formula>=AND(G35&lt;('تنظیمات'!$C$5+75),H35&gt;('تنظیمات'!$C$5+70),F35&gt;0)</formula>
    </cfRule>
  </conditionalFormatting>
  <conditionalFormatting sqref="Y35">
    <cfRule type="expression" priority="1176" dxfId="2">
      <formula>=AND(G35&lt;('تنظیمات'!$C$5+80),H35&gt;('تنظیمات'!$C$5+75),F35&gt;0)</formula>
    </cfRule>
  </conditionalFormatting>
  <conditionalFormatting sqref="Z35">
    <cfRule type="expression" priority="1177" dxfId="2">
      <formula>=AND(G35&lt;('تنظیمات'!$C$5+85),H35&gt;('تنظیمات'!$C$5+80),F35&gt;0)</formula>
    </cfRule>
  </conditionalFormatting>
  <conditionalFormatting sqref="AA35">
    <cfRule type="expression" priority="1178" dxfId="2">
      <formula>=AND(G35&lt;('تنظیمات'!$C$5+90),H35&gt;('تنظیمات'!$C$5+85),F35&gt;0)</formula>
    </cfRule>
  </conditionalFormatting>
  <conditionalFormatting sqref="AB35">
    <cfRule type="expression" priority="1179" dxfId="2">
      <formula>=AND(G35&lt;('تنظیمات'!$C$5+95),H35&gt;('تنظیمات'!$C$5+90),F35&gt;0)</formula>
    </cfRule>
  </conditionalFormatting>
  <conditionalFormatting sqref="AC35">
    <cfRule type="expression" priority="1180" dxfId="2">
      <formula>=AND(G35&lt;('تنظیمات'!$C$5+100),H35&gt;('تنظیمات'!$C$5+95),F35&gt;0)</formula>
    </cfRule>
  </conditionalFormatting>
  <conditionalFormatting sqref="AD35">
    <cfRule type="expression" priority="1181" dxfId="2">
      <formula>=AND(G35&lt;('تنظیمات'!$C$5+105),H35&gt;('تنظیمات'!$C$5+100),F35&gt;0)</formula>
    </cfRule>
  </conditionalFormatting>
  <conditionalFormatting sqref="AE35">
    <cfRule type="expression" priority="1182" dxfId="2">
      <formula>=AND(G35&lt;('تنظیمات'!$C$5+110),H35&gt;('تنظیمات'!$C$5+105),F35&gt;0)</formula>
    </cfRule>
  </conditionalFormatting>
  <conditionalFormatting sqref="AF35">
    <cfRule type="expression" priority="1183" dxfId="2">
      <formula>=AND(G35&lt;('تنظیمات'!$C$5+115),H35&gt;('تنظیمات'!$C$5+110),F35&gt;0)</formula>
    </cfRule>
  </conditionalFormatting>
  <conditionalFormatting sqref="AG35">
    <cfRule type="expression" priority="1184" dxfId="2">
      <formula>=AND(G35&lt;('تنظیمات'!$C$5+120),H35&gt;('تنظیمات'!$C$5+115),F35&gt;0)</formula>
    </cfRule>
  </conditionalFormatting>
  <conditionalFormatting sqref="AH35">
    <cfRule type="expression" priority="1185" dxfId="2">
      <formula>=AND(G35&lt;('تنظیمات'!$C$5+125),H35&gt;('تنظیمات'!$C$5+120),F35&gt;0)</formula>
    </cfRule>
  </conditionalFormatting>
  <conditionalFormatting sqref="AI35">
    <cfRule type="expression" priority="1186" dxfId="2">
      <formula>=AND(G35&lt;('تنظیمات'!$C$5+130),H35&gt;('تنظیمات'!$C$5+125),F35&gt;0)</formula>
    </cfRule>
  </conditionalFormatting>
  <conditionalFormatting sqref="AJ35">
    <cfRule type="expression" priority="1187" dxfId="2">
      <formula>=AND(G35&lt;('تنظیمات'!$C$5+135),H35&gt;('تنظیمات'!$C$5+130),F35&gt;0)</formula>
    </cfRule>
  </conditionalFormatting>
  <conditionalFormatting sqref="AK35">
    <cfRule type="expression" priority="1188" dxfId="2">
      <formula>=AND(G35&lt;('تنظیمات'!$C$5+140),H35&gt;('تنظیمات'!$C$5+135),F35&gt;0)</formula>
    </cfRule>
  </conditionalFormatting>
  <conditionalFormatting sqref="AL35">
    <cfRule type="expression" priority="1189" dxfId="2">
      <formula>=AND(G35&lt;('تنظیمات'!$C$5+145),H35&gt;('تنظیمات'!$C$5+140),F35&gt;0)</formula>
    </cfRule>
  </conditionalFormatting>
  <conditionalFormatting sqref="AM35">
    <cfRule type="expression" priority="1190" dxfId="2">
      <formula>=AND(G35&lt;('تنظیمات'!$C$5+150),H35&gt;('تنظیمات'!$C$5+145),F35&gt;0)</formula>
    </cfRule>
  </conditionalFormatting>
  <conditionalFormatting sqref="AN35">
    <cfRule type="expression" priority="1191" dxfId="2">
      <formula>=AND(G35&lt;('تنظیمات'!$C$5+155),H35&gt;('تنظیمات'!$C$5+150),F35&gt;0)</formula>
    </cfRule>
  </conditionalFormatting>
  <conditionalFormatting sqref="AO35">
    <cfRule type="expression" priority="1192" dxfId="2">
      <formula>=AND(G35&lt;('تنظیمات'!$C$5+160),H35&gt;('تنظیمات'!$C$5+155),F35&gt;0)</formula>
    </cfRule>
  </conditionalFormatting>
  <conditionalFormatting sqref="AP35">
    <cfRule type="expression" priority="1193" dxfId="2">
      <formula>=AND(G35&lt;('تنظیمات'!$C$5+165),H35&gt;('تنظیمات'!$C$5+160),F35&gt;0)</formula>
    </cfRule>
  </conditionalFormatting>
  <conditionalFormatting sqref="AQ35">
    <cfRule type="expression" priority="1194" dxfId="2">
      <formula>=AND(G35&lt;('تنظیمات'!$C$5+170),H35&gt;('تنظیمات'!$C$5+165),F35&gt;0)</formula>
    </cfRule>
  </conditionalFormatting>
  <conditionalFormatting sqref="AR35">
    <cfRule type="expression" priority="1195" dxfId="2">
      <formula>=AND(G35&lt;('تنظیمات'!$C$5+175),H35&gt;('تنظیمات'!$C$5+170),F35&gt;0)</formula>
    </cfRule>
  </conditionalFormatting>
  <conditionalFormatting sqref="AS35">
    <cfRule type="expression" priority="1196" dxfId="2">
      <formula>=AND(G35&lt;('تنظیمات'!$C$5+180),H35&gt;('تنظیمات'!$C$5+175),F35&gt;0)</formula>
    </cfRule>
  </conditionalFormatting>
  <conditionalFormatting sqref="AT35">
    <cfRule type="expression" priority="1197" dxfId="2">
      <formula>=AND(G35&lt;('تنظیمات'!$C$5+185),H35&gt;('تنظیمات'!$C$5+180),F35&gt;0)</formula>
    </cfRule>
  </conditionalFormatting>
  <conditionalFormatting sqref="AU35">
    <cfRule type="expression" priority="1198" dxfId="2">
      <formula>=AND(G35&lt;('تنظیمات'!$C$5+190),H35&gt;('تنظیمات'!$C$5+185),F35&gt;0)</formula>
    </cfRule>
  </conditionalFormatting>
  <conditionalFormatting sqref="AV35">
    <cfRule type="expression" priority="1199" dxfId="2">
      <formula>=AND(G35&lt;('تنظیمات'!$C$5+195),H35&gt;('تنظیمات'!$C$5+190),F35&gt;0)</formula>
    </cfRule>
  </conditionalFormatting>
  <conditionalFormatting sqref="AW35">
    <cfRule type="expression" priority="1200" dxfId="2">
      <formula>=AND(G35&lt;('تنظیمات'!$C$5+200),H35&gt;('تنظیمات'!$C$5+195),F35&gt;0)</formula>
    </cfRule>
  </conditionalFormatting>
  <conditionalFormatting sqref="J36">
    <cfRule type="expression" priority="1201" dxfId="2">
      <formula>=AND(G36&lt;('تنظیمات'!$C$5+5),H36&gt;('تنظیمات'!$C$5+0),F36&gt;0)</formula>
    </cfRule>
  </conditionalFormatting>
  <conditionalFormatting sqref="K36">
    <cfRule type="expression" priority="1202" dxfId="2">
      <formula>=AND(G36&lt;('تنظیمات'!$C$5+10),H36&gt;('تنظیمات'!$C$5+5),F36&gt;0)</formula>
    </cfRule>
  </conditionalFormatting>
  <conditionalFormatting sqref="L36">
    <cfRule type="expression" priority="1203" dxfId="2">
      <formula>=AND(G36&lt;('تنظیمات'!$C$5+15),H36&gt;('تنظیمات'!$C$5+10),F36&gt;0)</formula>
    </cfRule>
  </conditionalFormatting>
  <conditionalFormatting sqref="M36">
    <cfRule type="expression" priority="1204" dxfId="2">
      <formula>=AND(G36&lt;('تنظیمات'!$C$5+20),H36&gt;('تنظیمات'!$C$5+15),F36&gt;0)</formula>
    </cfRule>
  </conditionalFormatting>
  <conditionalFormatting sqref="N36">
    <cfRule type="expression" priority="1205" dxfId="2">
      <formula>=AND(G36&lt;('تنظیمات'!$C$5+25),H36&gt;('تنظیمات'!$C$5+20),F36&gt;0)</formula>
    </cfRule>
  </conditionalFormatting>
  <conditionalFormatting sqref="O36">
    <cfRule type="expression" priority="1206" dxfId="2">
      <formula>=AND(G36&lt;('تنظیمات'!$C$5+30),H36&gt;('تنظیمات'!$C$5+25),F36&gt;0)</formula>
    </cfRule>
  </conditionalFormatting>
  <conditionalFormatting sqref="P36">
    <cfRule type="expression" priority="1207" dxfId="2">
      <formula>=AND(G36&lt;('تنظیمات'!$C$5+35),H36&gt;('تنظیمات'!$C$5+30),F36&gt;0)</formula>
    </cfRule>
  </conditionalFormatting>
  <conditionalFormatting sqref="Q36">
    <cfRule type="expression" priority="1208" dxfId="2">
      <formula>=AND(G36&lt;('تنظیمات'!$C$5+40),H36&gt;('تنظیمات'!$C$5+35),F36&gt;0)</formula>
    </cfRule>
  </conditionalFormatting>
  <conditionalFormatting sqref="R36">
    <cfRule type="expression" priority="1209" dxfId="2">
      <formula>=AND(G36&lt;('تنظیمات'!$C$5+45),H36&gt;('تنظیمات'!$C$5+40),F36&gt;0)</formula>
    </cfRule>
  </conditionalFormatting>
  <conditionalFormatting sqref="S36">
    <cfRule type="expression" priority="1210" dxfId="2">
      <formula>=AND(G36&lt;('تنظیمات'!$C$5+50),H36&gt;('تنظیمات'!$C$5+45),F36&gt;0)</formula>
    </cfRule>
  </conditionalFormatting>
  <conditionalFormatting sqref="T36">
    <cfRule type="expression" priority="1211" dxfId="2">
      <formula>=AND(G36&lt;('تنظیمات'!$C$5+55),H36&gt;('تنظیمات'!$C$5+50),F36&gt;0)</formula>
    </cfRule>
  </conditionalFormatting>
  <conditionalFormatting sqref="U36">
    <cfRule type="expression" priority="1212" dxfId="2">
      <formula>=AND(G36&lt;('تنظیمات'!$C$5+60),H36&gt;('تنظیمات'!$C$5+55),F36&gt;0)</formula>
    </cfRule>
  </conditionalFormatting>
  <conditionalFormatting sqref="V36">
    <cfRule type="expression" priority="1213" dxfId="2">
      <formula>=AND(G36&lt;('تنظیمات'!$C$5+65),H36&gt;('تنظیمات'!$C$5+60),F36&gt;0)</formula>
    </cfRule>
  </conditionalFormatting>
  <conditionalFormatting sqref="W36">
    <cfRule type="expression" priority="1214" dxfId="2">
      <formula>=AND(G36&lt;('تنظیمات'!$C$5+70),H36&gt;('تنظیمات'!$C$5+65),F36&gt;0)</formula>
    </cfRule>
  </conditionalFormatting>
  <conditionalFormatting sqref="X36">
    <cfRule type="expression" priority="1215" dxfId="2">
      <formula>=AND(G36&lt;('تنظیمات'!$C$5+75),H36&gt;('تنظیمات'!$C$5+70),F36&gt;0)</formula>
    </cfRule>
  </conditionalFormatting>
  <conditionalFormatting sqref="Y36">
    <cfRule type="expression" priority="1216" dxfId="2">
      <formula>=AND(G36&lt;('تنظیمات'!$C$5+80),H36&gt;('تنظیمات'!$C$5+75),F36&gt;0)</formula>
    </cfRule>
  </conditionalFormatting>
  <conditionalFormatting sqref="Z36">
    <cfRule type="expression" priority="1217" dxfId="2">
      <formula>=AND(G36&lt;('تنظیمات'!$C$5+85),H36&gt;('تنظیمات'!$C$5+80),F36&gt;0)</formula>
    </cfRule>
  </conditionalFormatting>
  <conditionalFormatting sqref="AA36">
    <cfRule type="expression" priority="1218" dxfId="2">
      <formula>=AND(G36&lt;('تنظیمات'!$C$5+90),H36&gt;('تنظیمات'!$C$5+85),F36&gt;0)</formula>
    </cfRule>
  </conditionalFormatting>
  <conditionalFormatting sqref="AB36">
    <cfRule type="expression" priority="1219" dxfId="2">
      <formula>=AND(G36&lt;('تنظیمات'!$C$5+95),H36&gt;('تنظیمات'!$C$5+90),F36&gt;0)</formula>
    </cfRule>
  </conditionalFormatting>
  <conditionalFormatting sqref="AC36">
    <cfRule type="expression" priority="1220" dxfId="2">
      <formula>=AND(G36&lt;('تنظیمات'!$C$5+100),H36&gt;('تنظیمات'!$C$5+95),F36&gt;0)</formula>
    </cfRule>
  </conditionalFormatting>
  <conditionalFormatting sqref="AD36">
    <cfRule type="expression" priority="1221" dxfId="2">
      <formula>=AND(G36&lt;('تنظیمات'!$C$5+105),H36&gt;('تنظیمات'!$C$5+100),F36&gt;0)</formula>
    </cfRule>
  </conditionalFormatting>
  <conditionalFormatting sqref="AE36">
    <cfRule type="expression" priority="1222" dxfId="2">
      <formula>=AND(G36&lt;('تنظیمات'!$C$5+110),H36&gt;('تنظیمات'!$C$5+105),F36&gt;0)</formula>
    </cfRule>
  </conditionalFormatting>
  <conditionalFormatting sqref="AF36">
    <cfRule type="expression" priority="1223" dxfId="2">
      <formula>=AND(G36&lt;('تنظیمات'!$C$5+115),H36&gt;('تنظیمات'!$C$5+110),F36&gt;0)</formula>
    </cfRule>
  </conditionalFormatting>
  <conditionalFormatting sqref="AG36">
    <cfRule type="expression" priority="1224" dxfId="2">
      <formula>=AND(G36&lt;('تنظیمات'!$C$5+120),H36&gt;('تنظیمات'!$C$5+115),F36&gt;0)</formula>
    </cfRule>
  </conditionalFormatting>
  <conditionalFormatting sqref="AH36">
    <cfRule type="expression" priority="1225" dxfId="2">
      <formula>=AND(G36&lt;('تنظیمات'!$C$5+125),H36&gt;('تنظیمات'!$C$5+120),F36&gt;0)</formula>
    </cfRule>
  </conditionalFormatting>
  <conditionalFormatting sqref="AI36">
    <cfRule type="expression" priority="1226" dxfId="2">
      <formula>=AND(G36&lt;('تنظیمات'!$C$5+130),H36&gt;('تنظیمات'!$C$5+125),F36&gt;0)</formula>
    </cfRule>
  </conditionalFormatting>
  <conditionalFormatting sqref="AJ36">
    <cfRule type="expression" priority="1227" dxfId="2">
      <formula>=AND(G36&lt;('تنظیمات'!$C$5+135),H36&gt;('تنظیمات'!$C$5+130),F36&gt;0)</formula>
    </cfRule>
  </conditionalFormatting>
  <conditionalFormatting sqref="AK36">
    <cfRule type="expression" priority="1228" dxfId="2">
      <formula>=AND(G36&lt;('تنظیمات'!$C$5+140),H36&gt;('تنظیمات'!$C$5+135),F36&gt;0)</formula>
    </cfRule>
  </conditionalFormatting>
  <conditionalFormatting sqref="AL36">
    <cfRule type="expression" priority="1229" dxfId="2">
      <formula>=AND(G36&lt;('تنظیمات'!$C$5+145),H36&gt;('تنظیمات'!$C$5+140),F36&gt;0)</formula>
    </cfRule>
  </conditionalFormatting>
  <conditionalFormatting sqref="AM36">
    <cfRule type="expression" priority="1230" dxfId="2">
      <formula>=AND(G36&lt;('تنظیمات'!$C$5+150),H36&gt;('تنظیمات'!$C$5+145),F36&gt;0)</formula>
    </cfRule>
  </conditionalFormatting>
  <conditionalFormatting sqref="AN36">
    <cfRule type="expression" priority="1231" dxfId="2">
      <formula>=AND(G36&lt;('تنظیمات'!$C$5+155),H36&gt;('تنظیمات'!$C$5+150),F36&gt;0)</formula>
    </cfRule>
  </conditionalFormatting>
  <conditionalFormatting sqref="AO36">
    <cfRule type="expression" priority="1232" dxfId="2">
      <formula>=AND(G36&lt;('تنظیمات'!$C$5+160),H36&gt;('تنظیمات'!$C$5+155),F36&gt;0)</formula>
    </cfRule>
  </conditionalFormatting>
  <conditionalFormatting sqref="AP36">
    <cfRule type="expression" priority="1233" dxfId="2">
      <formula>=AND(G36&lt;('تنظیمات'!$C$5+165),H36&gt;('تنظیمات'!$C$5+160),F36&gt;0)</formula>
    </cfRule>
  </conditionalFormatting>
  <conditionalFormatting sqref="AQ36">
    <cfRule type="expression" priority="1234" dxfId="2">
      <formula>=AND(G36&lt;('تنظیمات'!$C$5+170),H36&gt;('تنظیمات'!$C$5+165),F36&gt;0)</formula>
    </cfRule>
  </conditionalFormatting>
  <conditionalFormatting sqref="AR36">
    <cfRule type="expression" priority="1235" dxfId="2">
      <formula>=AND(G36&lt;('تنظیمات'!$C$5+175),H36&gt;('تنظیمات'!$C$5+170),F36&gt;0)</formula>
    </cfRule>
  </conditionalFormatting>
  <conditionalFormatting sqref="AS36">
    <cfRule type="expression" priority="1236" dxfId="2">
      <formula>=AND(G36&lt;('تنظیمات'!$C$5+180),H36&gt;('تنظیمات'!$C$5+175),F36&gt;0)</formula>
    </cfRule>
  </conditionalFormatting>
  <conditionalFormatting sqref="AT36">
    <cfRule type="expression" priority="1237" dxfId="2">
      <formula>=AND(G36&lt;('تنظیمات'!$C$5+185),H36&gt;('تنظیمات'!$C$5+180),F36&gt;0)</formula>
    </cfRule>
  </conditionalFormatting>
  <conditionalFormatting sqref="AU36">
    <cfRule type="expression" priority="1238" dxfId="2">
      <formula>=AND(G36&lt;('تنظیمات'!$C$5+190),H36&gt;('تنظیمات'!$C$5+185),F36&gt;0)</formula>
    </cfRule>
  </conditionalFormatting>
  <conditionalFormatting sqref="AV36">
    <cfRule type="expression" priority="1239" dxfId="2">
      <formula>=AND(G36&lt;('تنظیمات'!$C$5+195),H36&gt;('تنظیمات'!$C$5+190),F36&gt;0)</formula>
    </cfRule>
  </conditionalFormatting>
  <conditionalFormatting sqref="AW36">
    <cfRule type="expression" priority="1240" dxfId="2">
      <formula>=AND(G36&lt;('تنظیمات'!$C$5+200),H36&gt;('تنظیمات'!$C$5+195),F36&gt;0)</formula>
    </cfRule>
  </conditionalFormatting>
  <conditionalFormatting sqref="J37">
    <cfRule type="expression" priority="1241" dxfId="2">
      <formula>=AND(G37&lt;('تنظیمات'!$C$5+5),H37&gt;('تنظیمات'!$C$5+0),F37&gt;0)</formula>
    </cfRule>
  </conditionalFormatting>
  <conditionalFormatting sqref="K37">
    <cfRule type="expression" priority="1242" dxfId="2">
      <formula>=AND(G37&lt;('تنظیمات'!$C$5+10),H37&gt;('تنظیمات'!$C$5+5),F37&gt;0)</formula>
    </cfRule>
  </conditionalFormatting>
  <conditionalFormatting sqref="L37">
    <cfRule type="expression" priority="1243" dxfId="2">
      <formula>=AND(G37&lt;('تنظیمات'!$C$5+15),H37&gt;('تنظیمات'!$C$5+10),F37&gt;0)</formula>
    </cfRule>
  </conditionalFormatting>
  <conditionalFormatting sqref="M37">
    <cfRule type="expression" priority="1244" dxfId="2">
      <formula>=AND(G37&lt;('تنظیمات'!$C$5+20),H37&gt;('تنظیمات'!$C$5+15),F37&gt;0)</formula>
    </cfRule>
  </conditionalFormatting>
  <conditionalFormatting sqref="N37">
    <cfRule type="expression" priority="1245" dxfId="2">
      <formula>=AND(G37&lt;('تنظیمات'!$C$5+25),H37&gt;('تنظیمات'!$C$5+20),F37&gt;0)</formula>
    </cfRule>
  </conditionalFormatting>
  <conditionalFormatting sqref="O37">
    <cfRule type="expression" priority="1246" dxfId="2">
      <formula>=AND(G37&lt;('تنظیمات'!$C$5+30),H37&gt;('تنظیمات'!$C$5+25),F37&gt;0)</formula>
    </cfRule>
  </conditionalFormatting>
  <conditionalFormatting sqref="P37">
    <cfRule type="expression" priority="1247" dxfId="2">
      <formula>=AND(G37&lt;('تنظیمات'!$C$5+35),H37&gt;('تنظیمات'!$C$5+30),F37&gt;0)</formula>
    </cfRule>
  </conditionalFormatting>
  <conditionalFormatting sqref="Q37">
    <cfRule type="expression" priority="1248" dxfId="2">
      <formula>=AND(G37&lt;('تنظیمات'!$C$5+40),H37&gt;('تنظیمات'!$C$5+35),F37&gt;0)</formula>
    </cfRule>
  </conditionalFormatting>
  <conditionalFormatting sqref="R37">
    <cfRule type="expression" priority="1249" dxfId="2">
      <formula>=AND(G37&lt;('تنظیمات'!$C$5+45),H37&gt;('تنظیمات'!$C$5+40),F37&gt;0)</formula>
    </cfRule>
  </conditionalFormatting>
  <conditionalFormatting sqref="S37">
    <cfRule type="expression" priority="1250" dxfId="2">
      <formula>=AND(G37&lt;('تنظیمات'!$C$5+50),H37&gt;('تنظیمات'!$C$5+45),F37&gt;0)</formula>
    </cfRule>
  </conditionalFormatting>
  <conditionalFormatting sqref="T37">
    <cfRule type="expression" priority="1251" dxfId="2">
      <formula>=AND(G37&lt;('تنظیمات'!$C$5+55),H37&gt;('تنظیمات'!$C$5+50),F37&gt;0)</formula>
    </cfRule>
  </conditionalFormatting>
  <conditionalFormatting sqref="U37">
    <cfRule type="expression" priority="1252" dxfId="2">
      <formula>=AND(G37&lt;('تنظیمات'!$C$5+60),H37&gt;('تنظیمات'!$C$5+55),F37&gt;0)</formula>
    </cfRule>
  </conditionalFormatting>
  <conditionalFormatting sqref="V37">
    <cfRule type="expression" priority="1253" dxfId="2">
      <formula>=AND(G37&lt;('تنظیمات'!$C$5+65),H37&gt;('تنظیمات'!$C$5+60),F37&gt;0)</formula>
    </cfRule>
  </conditionalFormatting>
  <conditionalFormatting sqref="W37">
    <cfRule type="expression" priority="1254" dxfId="2">
      <formula>=AND(G37&lt;('تنظیمات'!$C$5+70),H37&gt;('تنظیمات'!$C$5+65),F37&gt;0)</formula>
    </cfRule>
  </conditionalFormatting>
  <conditionalFormatting sqref="X37">
    <cfRule type="expression" priority="1255" dxfId="2">
      <formula>=AND(G37&lt;('تنظیمات'!$C$5+75),H37&gt;('تنظیمات'!$C$5+70),F37&gt;0)</formula>
    </cfRule>
  </conditionalFormatting>
  <conditionalFormatting sqref="Y37">
    <cfRule type="expression" priority="1256" dxfId="2">
      <formula>=AND(G37&lt;('تنظیمات'!$C$5+80),H37&gt;('تنظیمات'!$C$5+75),F37&gt;0)</formula>
    </cfRule>
  </conditionalFormatting>
  <conditionalFormatting sqref="Z37">
    <cfRule type="expression" priority="1257" dxfId="2">
      <formula>=AND(G37&lt;('تنظیمات'!$C$5+85),H37&gt;('تنظیمات'!$C$5+80),F37&gt;0)</formula>
    </cfRule>
  </conditionalFormatting>
  <conditionalFormatting sqref="AA37">
    <cfRule type="expression" priority="1258" dxfId="2">
      <formula>=AND(G37&lt;('تنظیمات'!$C$5+90),H37&gt;('تنظیمات'!$C$5+85),F37&gt;0)</formula>
    </cfRule>
  </conditionalFormatting>
  <conditionalFormatting sqref="AB37">
    <cfRule type="expression" priority="1259" dxfId="2">
      <formula>=AND(G37&lt;('تنظیمات'!$C$5+95),H37&gt;('تنظیمات'!$C$5+90),F37&gt;0)</formula>
    </cfRule>
  </conditionalFormatting>
  <conditionalFormatting sqref="AC37">
    <cfRule type="expression" priority="1260" dxfId="2">
      <formula>=AND(G37&lt;('تنظیمات'!$C$5+100),H37&gt;('تنظیمات'!$C$5+95),F37&gt;0)</formula>
    </cfRule>
  </conditionalFormatting>
  <conditionalFormatting sqref="AD37">
    <cfRule type="expression" priority="1261" dxfId="2">
      <formula>=AND(G37&lt;('تنظیمات'!$C$5+105),H37&gt;('تنظیمات'!$C$5+100),F37&gt;0)</formula>
    </cfRule>
  </conditionalFormatting>
  <conditionalFormatting sqref="AE37">
    <cfRule type="expression" priority="1262" dxfId="2">
      <formula>=AND(G37&lt;('تنظیمات'!$C$5+110),H37&gt;('تنظیمات'!$C$5+105),F37&gt;0)</formula>
    </cfRule>
  </conditionalFormatting>
  <conditionalFormatting sqref="AF37">
    <cfRule type="expression" priority="1263" dxfId="2">
      <formula>=AND(G37&lt;('تنظیمات'!$C$5+115),H37&gt;('تنظیمات'!$C$5+110),F37&gt;0)</formula>
    </cfRule>
  </conditionalFormatting>
  <conditionalFormatting sqref="AG37">
    <cfRule type="expression" priority="1264" dxfId="2">
      <formula>=AND(G37&lt;('تنظیمات'!$C$5+120),H37&gt;('تنظیمات'!$C$5+115),F37&gt;0)</formula>
    </cfRule>
  </conditionalFormatting>
  <conditionalFormatting sqref="AH37">
    <cfRule type="expression" priority="1265" dxfId="2">
      <formula>=AND(G37&lt;('تنظیمات'!$C$5+125),H37&gt;('تنظیمات'!$C$5+120),F37&gt;0)</formula>
    </cfRule>
  </conditionalFormatting>
  <conditionalFormatting sqref="AI37">
    <cfRule type="expression" priority="1266" dxfId="2">
      <formula>=AND(G37&lt;('تنظیمات'!$C$5+130),H37&gt;('تنظیمات'!$C$5+125),F37&gt;0)</formula>
    </cfRule>
  </conditionalFormatting>
  <conditionalFormatting sqref="AJ37">
    <cfRule type="expression" priority="1267" dxfId="2">
      <formula>=AND(G37&lt;('تنظیمات'!$C$5+135),H37&gt;('تنظیمات'!$C$5+130),F37&gt;0)</formula>
    </cfRule>
  </conditionalFormatting>
  <conditionalFormatting sqref="AK37">
    <cfRule type="expression" priority="1268" dxfId="2">
      <formula>=AND(G37&lt;('تنظیمات'!$C$5+140),H37&gt;('تنظیمات'!$C$5+135),F37&gt;0)</formula>
    </cfRule>
  </conditionalFormatting>
  <conditionalFormatting sqref="AL37">
    <cfRule type="expression" priority="1269" dxfId="2">
      <formula>=AND(G37&lt;('تنظیمات'!$C$5+145),H37&gt;('تنظیمات'!$C$5+140),F37&gt;0)</formula>
    </cfRule>
  </conditionalFormatting>
  <conditionalFormatting sqref="AM37">
    <cfRule type="expression" priority="1270" dxfId="2">
      <formula>=AND(G37&lt;('تنظیمات'!$C$5+150),H37&gt;('تنظیمات'!$C$5+145),F37&gt;0)</formula>
    </cfRule>
  </conditionalFormatting>
  <conditionalFormatting sqref="AN37">
    <cfRule type="expression" priority="1271" dxfId="2">
      <formula>=AND(G37&lt;('تنظیمات'!$C$5+155),H37&gt;('تنظیمات'!$C$5+150),F37&gt;0)</formula>
    </cfRule>
  </conditionalFormatting>
  <conditionalFormatting sqref="AO37">
    <cfRule type="expression" priority="1272" dxfId="2">
      <formula>=AND(G37&lt;('تنظیمات'!$C$5+160),H37&gt;('تنظیمات'!$C$5+155),F37&gt;0)</formula>
    </cfRule>
  </conditionalFormatting>
  <conditionalFormatting sqref="AP37">
    <cfRule type="expression" priority="1273" dxfId="2">
      <formula>=AND(G37&lt;('تنظیمات'!$C$5+165),H37&gt;('تنظیمات'!$C$5+160),F37&gt;0)</formula>
    </cfRule>
  </conditionalFormatting>
  <conditionalFormatting sqref="AQ37">
    <cfRule type="expression" priority="1274" dxfId="2">
      <formula>=AND(G37&lt;('تنظیمات'!$C$5+170),H37&gt;('تنظیمات'!$C$5+165),F37&gt;0)</formula>
    </cfRule>
  </conditionalFormatting>
  <conditionalFormatting sqref="AR37">
    <cfRule type="expression" priority="1275" dxfId="2">
      <formula>=AND(G37&lt;('تنظیمات'!$C$5+175),H37&gt;('تنظیمات'!$C$5+170),F37&gt;0)</formula>
    </cfRule>
  </conditionalFormatting>
  <conditionalFormatting sqref="AS37">
    <cfRule type="expression" priority="1276" dxfId="2">
      <formula>=AND(G37&lt;('تنظیمات'!$C$5+180),H37&gt;('تنظیمات'!$C$5+175),F37&gt;0)</formula>
    </cfRule>
  </conditionalFormatting>
  <conditionalFormatting sqref="AT37">
    <cfRule type="expression" priority="1277" dxfId="2">
      <formula>=AND(G37&lt;('تنظیمات'!$C$5+185),H37&gt;('تنظیمات'!$C$5+180),F37&gt;0)</formula>
    </cfRule>
  </conditionalFormatting>
  <conditionalFormatting sqref="AU37">
    <cfRule type="expression" priority="1278" dxfId="2">
      <formula>=AND(G37&lt;('تنظیمات'!$C$5+190),H37&gt;('تنظیمات'!$C$5+185),F37&gt;0)</formula>
    </cfRule>
  </conditionalFormatting>
  <conditionalFormatting sqref="AV37">
    <cfRule type="expression" priority="1279" dxfId="2">
      <formula>=AND(G37&lt;('تنظیمات'!$C$5+195),H37&gt;('تنظیمات'!$C$5+190),F37&gt;0)</formula>
    </cfRule>
  </conditionalFormatting>
  <conditionalFormatting sqref="AW37">
    <cfRule type="expression" priority="1280" dxfId="2">
      <formula>=AND(G37&lt;('تنظیمات'!$C$5+200),H37&gt;('تنظیمات'!$C$5+195),F37&gt;0)</formula>
    </cfRule>
  </conditionalFormatting>
  <conditionalFormatting sqref="J38">
    <cfRule type="expression" priority="1281" dxfId="2">
      <formula>=AND(G38&lt;('تنظیمات'!$C$5+5),H38&gt;('تنظیمات'!$C$5+0),F38&gt;0)</formula>
    </cfRule>
  </conditionalFormatting>
  <conditionalFormatting sqref="K38">
    <cfRule type="expression" priority="1282" dxfId="2">
      <formula>=AND(G38&lt;('تنظیمات'!$C$5+10),H38&gt;('تنظیمات'!$C$5+5),F38&gt;0)</formula>
    </cfRule>
  </conditionalFormatting>
  <conditionalFormatting sqref="L38">
    <cfRule type="expression" priority="1283" dxfId="2">
      <formula>=AND(G38&lt;('تنظیمات'!$C$5+15),H38&gt;('تنظیمات'!$C$5+10),F38&gt;0)</formula>
    </cfRule>
  </conditionalFormatting>
  <conditionalFormatting sqref="M38">
    <cfRule type="expression" priority="1284" dxfId="2">
      <formula>=AND(G38&lt;('تنظیمات'!$C$5+20),H38&gt;('تنظیمات'!$C$5+15),F38&gt;0)</formula>
    </cfRule>
  </conditionalFormatting>
  <conditionalFormatting sqref="N38">
    <cfRule type="expression" priority="1285" dxfId="2">
      <formula>=AND(G38&lt;('تنظیمات'!$C$5+25),H38&gt;('تنظیمات'!$C$5+20),F38&gt;0)</formula>
    </cfRule>
  </conditionalFormatting>
  <conditionalFormatting sqref="O38">
    <cfRule type="expression" priority="1286" dxfId="2">
      <formula>=AND(G38&lt;('تنظیمات'!$C$5+30),H38&gt;('تنظیمات'!$C$5+25),F38&gt;0)</formula>
    </cfRule>
  </conditionalFormatting>
  <conditionalFormatting sqref="P38">
    <cfRule type="expression" priority="1287" dxfId="2">
      <formula>=AND(G38&lt;('تنظیمات'!$C$5+35),H38&gt;('تنظیمات'!$C$5+30),F38&gt;0)</formula>
    </cfRule>
  </conditionalFormatting>
  <conditionalFormatting sqref="Q38">
    <cfRule type="expression" priority="1288" dxfId="2">
      <formula>=AND(G38&lt;('تنظیمات'!$C$5+40),H38&gt;('تنظیمات'!$C$5+35),F38&gt;0)</formula>
    </cfRule>
  </conditionalFormatting>
  <conditionalFormatting sqref="R38">
    <cfRule type="expression" priority="1289" dxfId="2">
      <formula>=AND(G38&lt;('تنظیمات'!$C$5+45),H38&gt;('تنظیمات'!$C$5+40),F38&gt;0)</formula>
    </cfRule>
  </conditionalFormatting>
  <conditionalFormatting sqref="S38">
    <cfRule type="expression" priority="1290" dxfId="2">
      <formula>=AND(G38&lt;('تنظیمات'!$C$5+50),H38&gt;('تنظیمات'!$C$5+45),F38&gt;0)</formula>
    </cfRule>
  </conditionalFormatting>
  <conditionalFormatting sqref="T38">
    <cfRule type="expression" priority="1291" dxfId="2">
      <formula>=AND(G38&lt;('تنظیمات'!$C$5+55),H38&gt;('تنظیمات'!$C$5+50),F38&gt;0)</formula>
    </cfRule>
  </conditionalFormatting>
  <conditionalFormatting sqref="U38">
    <cfRule type="expression" priority="1292" dxfId="2">
      <formula>=AND(G38&lt;('تنظیمات'!$C$5+60),H38&gt;('تنظیمات'!$C$5+55),F38&gt;0)</formula>
    </cfRule>
  </conditionalFormatting>
  <conditionalFormatting sqref="V38">
    <cfRule type="expression" priority="1293" dxfId="2">
      <formula>=AND(G38&lt;('تنظیمات'!$C$5+65),H38&gt;('تنظیمات'!$C$5+60),F38&gt;0)</formula>
    </cfRule>
  </conditionalFormatting>
  <conditionalFormatting sqref="W38">
    <cfRule type="expression" priority="1294" dxfId="2">
      <formula>=AND(G38&lt;('تنظیمات'!$C$5+70),H38&gt;('تنظیمات'!$C$5+65),F38&gt;0)</formula>
    </cfRule>
  </conditionalFormatting>
  <conditionalFormatting sqref="X38">
    <cfRule type="expression" priority="1295" dxfId="2">
      <formula>=AND(G38&lt;('تنظیمات'!$C$5+75),H38&gt;('تنظیمات'!$C$5+70),F38&gt;0)</formula>
    </cfRule>
  </conditionalFormatting>
  <conditionalFormatting sqref="Y38">
    <cfRule type="expression" priority="1296" dxfId="2">
      <formula>=AND(G38&lt;('تنظیمات'!$C$5+80),H38&gt;('تنظیمات'!$C$5+75),F38&gt;0)</formula>
    </cfRule>
  </conditionalFormatting>
  <conditionalFormatting sqref="Z38">
    <cfRule type="expression" priority="1297" dxfId="2">
      <formula>=AND(G38&lt;('تنظیمات'!$C$5+85),H38&gt;('تنظیمات'!$C$5+80),F38&gt;0)</formula>
    </cfRule>
  </conditionalFormatting>
  <conditionalFormatting sqref="AA38">
    <cfRule type="expression" priority="1298" dxfId="2">
      <formula>=AND(G38&lt;('تنظیمات'!$C$5+90),H38&gt;('تنظیمات'!$C$5+85),F38&gt;0)</formula>
    </cfRule>
  </conditionalFormatting>
  <conditionalFormatting sqref="AB38">
    <cfRule type="expression" priority="1299" dxfId="2">
      <formula>=AND(G38&lt;('تنظیمات'!$C$5+95),H38&gt;('تنظیمات'!$C$5+90),F38&gt;0)</formula>
    </cfRule>
  </conditionalFormatting>
  <conditionalFormatting sqref="AC38">
    <cfRule type="expression" priority="1300" dxfId="2">
      <formula>=AND(G38&lt;('تنظیمات'!$C$5+100),H38&gt;('تنظیمات'!$C$5+95),F38&gt;0)</formula>
    </cfRule>
  </conditionalFormatting>
  <conditionalFormatting sqref="AD38">
    <cfRule type="expression" priority="1301" dxfId="2">
      <formula>=AND(G38&lt;('تنظیمات'!$C$5+105),H38&gt;('تنظیمات'!$C$5+100),F38&gt;0)</formula>
    </cfRule>
  </conditionalFormatting>
  <conditionalFormatting sqref="AE38">
    <cfRule type="expression" priority="1302" dxfId="2">
      <formula>=AND(G38&lt;('تنظیمات'!$C$5+110),H38&gt;('تنظیمات'!$C$5+105),F38&gt;0)</formula>
    </cfRule>
  </conditionalFormatting>
  <conditionalFormatting sqref="AF38">
    <cfRule type="expression" priority="1303" dxfId="2">
      <formula>=AND(G38&lt;('تنظیمات'!$C$5+115),H38&gt;('تنظیمات'!$C$5+110),F38&gt;0)</formula>
    </cfRule>
  </conditionalFormatting>
  <conditionalFormatting sqref="AG38">
    <cfRule type="expression" priority="1304" dxfId="2">
      <formula>=AND(G38&lt;('تنظیمات'!$C$5+120),H38&gt;('تنظیمات'!$C$5+115),F38&gt;0)</formula>
    </cfRule>
  </conditionalFormatting>
  <conditionalFormatting sqref="AH38">
    <cfRule type="expression" priority="1305" dxfId="2">
      <formula>=AND(G38&lt;('تنظیمات'!$C$5+125),H38&gt;('تنظیمات'!$C$5+120),F38&gt;0)</formula>
    </cfRule>
  </conditionalFormatting>
  <conditionalFormatting sqref="AI38">
    <cfRule type="expression" priority="1306" dxfId="2">
      <formula>=AND(G38&lt;('تنظیمات'!$C$5+130),H38&gt;('تنظیمات'!$C$5+125),F38&gt;0)</formula>
    </cfRule>
  </conditionalFormatting>
  <conditionalFormatting sqref="AJ38">
    <cfRule type="expression" priority="1307" dxfId="2">
      <formula>=AND(G38&lt;('تنظیمات'!$C$5+135),H38&gt;('تنظیمات'!$C$5+130),F38&gt;0)</formula>
    </cfRule>
  </conditionalFormatting>
  <conditionalFormatting sqref="AK38">
    <cfRule type="expression" priority="1308" dxfId="2">
      <formula>=AND(G38&lt;('تنظیمات'!$C$5+140),H38&gt;('تنظیمات'!$C$5+135),F38&gt;0)</formula>
    </cfRule>
  </conditionalFormatting>
  <conditionalFormatting sqref="AL38">
    <cfRule type="expression" priority="1309" dxfId="2">
      <formula>=AND(G38&lt;('تنظیمات'!$C$5+145),H38&gt;('تنظیمات'!$C$5+140),F38&gt;0)</formula>
    </cfRule>
  </conditionalFormatting>
  <conditionalFormatting sqref="AM38">
    <cfRule type="expression" priority="1310" dxfId="2">
      <formula>=AND(G38&lt;('تنظیمات'!$C$5+150),H38&gt;('تنظیمات'!$C$5+145),F38&gt;0)</formula>
    </cfRule>
  </conditionalFormatting>
  <conditionalFormatting sqref="AN38">
    <cfRule type="expression" priority="1311" dxfId="2">
      <formula>=AND(G38&lt;('تنظیمات'!$C$5+155),H38&gt;('تنظیمات'!$C$5+150),F38&gt;0)</formula>
    </cfRule>
  </conditionalFormatting>
  <conditionalFormatting sqref="AO38">
    <cfRule type="expression" priority="1312" dxfId="2">
      <formula>=AND(G38&lt;('تنظیمات'!$C$5+160),H38&gt;('تنظیمات'!$C$5+155),F38&gt;0)</formula>
    </cfRule>
  </conditionalFormatting>
  <conditionalFormatting sqref="AP38">
    <cfRule type="expression" priority="1313" dxfId="2">
      <formula>=AND(G38&lt;('تنظیمات'!$C$5+165),H38&gt;('تنظیمات'!$C$5+160),F38&gt;0)</formula>
    </cfRule>
  </conditionalFormatting>
  <conditionalFormatting sqref="AQ38">
    <cfRule type="expression" priority="1314" dxfId="2">
      <formula>=AND(G38&lt;('تنظیمات'!$C$5+170),H38&gt;('تنظیمات'!$C$5+165),F38&gt;0)</formula>
    </cfRule>
  </conditionalFormatting>
  <conditionalFormatting sqref="AR38">
    <cfRule type="expression" priority="1315" dxfId="2">
      <formula>=AND(G38&lt;('تنظیمات'!$C$5+175),H38&gt;('تنظیمات'!$C$5+170),F38&gt;0)</formula>
    </cfRule>
  </conditionalFormatting>
  <conditionalFormatting sqref="AS38">
    <cfRule type="expression" priority="1316" dxfId="2">
      <formula>=AND(G38&lt;('تنظیمات'!$C$5+180),H38&gt;('تنظیمات'!$C$5+175),F38&gt;0)</formula>
    </cfRule>
  </conditionalFormatting>
  <conditionalFormatting sqref="AT38">
    <cfRule type="expression" priority="1317" dxfId="2">
      <formula>=AND(G38&lt;('تنظیمات'!$C$5+185),H38&gt;('تنظیمات'!$C$5+180),F38&gt;0)</formula>
    </cfRule>
  </conditionalFormatting>
  <conditionalFormatting sqref="AU38">
    <cfRule type="expression" priority="1318" dxfId="2">
      <formula>=AND(G38&lt;('تنظیمات'!$C$5+190),H38&gt;('تنظیمات'!$C$5+185),F38&gt;0)</formula>
    </cfRule>
  </conditionalFormatting>
  <conditionalFormatting sqref="AV38">
    <cfRule type="expression" priority="1319" dxfId="2">
      <formula>=AND(G38&lt;('تنظیمات'!$C$5+195),H38&gt;('تنظیمات'!$C$5+190),F38&gt;0)</formula>
    </cfRule>
  </conditionalFormatting>
  <conditionalFormatting sqref="AW38">
    <cfRule type="expression" priority="1320" dxfId="2">
      <formula>=AND(G38&lt;('تنظیمات'!$C$5+200),H38&gt;('تنظیمات'!$C$5+195),F38&gt;0)</formula>
    </cfRule>
  </conditionalFormatting>
  <conditionalFormatting sqref="J39">
    <cfRule type="expression" priority="1321" dxfId="3">
      <formula>=AND(G39&lt;('تنظیمات'!$C$5+5),H39&gt;('تنظیمات'!$C$5+0),F39&gt;0)</formula>
    </cfRule>
  </conditionalFormatting>
  <conditionalFormatting sqref="K39">
    <cfRule type="expression" priority="1322" dxfId="3">
      <formula>=AND(G39&lt;('تنظیمات'!$C$5+10),H39&gt;('تنظیمات'!$C$5+5),F39&gt;0)</formula>
    </cfRule>
  </conditionalFormatting>
  <conditionalFormatting sqref="L39">
    <cfRule type="expression" priority="1323" dxfId="3">
      <formula>=AND(G39&lt;('تنظیمات'!$C$5+15),H39&gt;('تنظیمات'!$C$5+10),F39&gt;0)</formula>
    </cfRule>
  </conditionalFormatting>
  <conditionalFormatting sqref="M39">
    <cfRule type="expression" priority="1324" dxfId="3">
      <formula>=AND(G39&lt;('تنظیمات'!$C$5+20),H39&gt;('تنظیمات'!$C$5+15),F39&gt;0)</formula>
    </cfRule>
  </conditionalFormatting>
  <conditionalFormatting sqref="N39">
    <cfRule type="expression" priority="1325" dxfId="3">
      <formula>=AND(G39&lt;('تنظیمات'!$C$5+25),H39&gt;('تنظیمات'!$C$5+20),F39&gt;0)</formula>
    </cfRule>
  </conditionalFormatting>
  <conditionalFormatting sqref="O39">
    <cfRule type="expression" priority="1326" dxfId="3">
      <formula>=AND(G39&lt;('تنظیمات'!$C$5+30),H39&gt;('تنظیمات'!$C$5+25),F39&gt;0)</formula>
    </cfRule>
  </conditionalFormatting>
  <conditionalFormatting sqref="P39">
    <cfRule type="expression" priority="1327" dxfId="3">
      <formula>=AND(G39&lt;('تنظیمات'!$C$5+35),H39&gt;('تنظیمات'!$C$5+30),F39&gt;0)</formula>
    </cfRule>
  </conditionalFormatting>
  <conditionalFormatting sqref="Q39">
    <cfRule type="expression" priority="1328" dxfId="3">
      <formula>=AND(G39&lt;('تنظیمات'!$C$5+40),H39&gt;('تنظیمات'!$C$5+35),F39&gt;0)</formula>
    </cfRule>
  </conditionalFormatting>
  <conditionalFormatting sqref="R39">
    <cfRule type="expression" priority="1329" dxfId="3">
      <formula>=AND(G39&lt;('تنظیمات'!$C$5+45),H39&gt;('تنظیمات'!$C$5+40),F39&gt;0)</formula>
    </cfRule>
  </conditionalFormatting>
  <conditionalFormatting sqref="S39">
    <cfRule type="expression" priority="1330" dxfId="3">
      <formula>=AND(G39&lt;('تنظیمات'!$C$5+50),H39&gt;('تنظیمات'!$C$5+45),F39&gt;0)</formula>
    </cfRule>
  </conditionalFormatting>
  <conditionalFormatting sqref="T39">
    <cfRule type="expression" priority="1331" dxfId="3">
      <formula>=AND(G39&lt;('تنظیمات'!$C$5+55),H39&gt;('تنظیمات'!$C$5+50),F39&gt;0)</formula>
    </cfRule>
  </conditionalFormatting>
  <conditionalFormatting sqref="U39">
    <cfRule type="expression" priority="1332" dxfId="3">
      <formula>=AND(G39&lt;('تنظیمات'!$C$5+60),H39&gt;('تنظیمات'!$C$5+55),F39&gt;0)</formula>
    </cfRule>
  </conditionalFormatting>
  <conditionalFormatting sqref="V39">
    <cfRule type="expression" priority="1333" dxfId="3">
      <formula>=AND(G39&lt;('تنظیمات'!$C$5+65),H39&gt;('تنظیمات'!$C$5+60),F39&gt;0)</formula>
    </cfRule>
  </conditionalFormatting>
  <conditionalFormatting sqref="W39">
    <cfRule type="expression" priority="1334" dxfId="3">
      <formula>=AND(G39&lt;('تنظیمات'!$C$5+70),H39&gt;('تنظیمات'!$C$5+65),F39&gt;0)</formula>
    </cfRule>
  </conditionalFormatting>
  <conditionalFormatting sqref="X39">
    <cfRule type="expression" priority="1335" dxfId="3">
      <formula>=AND(G39&lt;('تنظیمات'!$C$5+75),H39&gt;('تنظیمات'!$C$5+70),F39&gt;0)</formula>
    </cfRule>
  </conditionalFormatting>
  <conditionalFormatting sqref="Y39">
    <cfRule type="expression" priority="1336" dxfId="3">
      <formula>=AND(G39&lt;('تنظیمات'!$C$5+80),H39&gt;('تنظیمات'!$C$5+75),F39&gt;0)</formula>
    </cfRule>
  </conditionalFormatting>
  <conditionalFormatting sqref="Z39">
    <cfRule type="expression" priority="1337" dxfId="3">
      <formula>=AND(G39&lt;('تنظیمات'!$C$5+85),H39&gt;('تنظیمات'!$C$5+80),F39&gt;0)</formula>
    </cfRule>
  </conditionalFormatting>
  <conditionalFormatting sqref="AA39">
    <cfRule type="expression" priority="1338" dxfId="3">
      <formula>=AND(G39&lt;('تنظیمات'!$C$5+90),H39&gt;('تنظیمات'!$C$5+85),F39&gt;0)</formula>
    </cfRule>
  </conditionalFormatting>
  <conditionalFormatting sqref="AB39">
    <cfRule type="expression" priority="1339" dxfId="3">
      <formula>=AND(G39&lt;('تنظیمات'!$C$5+95),H39&gt;('تنظیمات'!$C$5+90),F39&gt;0)</formula>
    </cfRule>
  </conditionalFormatting>
  <conditionalFormatting sqref="AC39">
    <cfRule type="expression" priority="1340" dxfId="3">
      <formula>=AND(G39&lt;('تنظیمات'!$C$5+100),H39&gt;('تنظیمات'!$C$5+95),F39&gt;0)</formula>
    </cfRule>
  </conditionalFormatting>
  <conditionalFormatting sqref="AD39">
    <cfRule type="expression" priority="1341" dxfId="3">
      <formula>=AND(G39&lt;('تنظیمات'!$C$5+105),H39&gt;('تنظیمات'!$C$5+100),F39&gt;0)</formula>
    </cfRule>
  </conditionalFormatting>
  <conditionalFormatting sqref="AE39">
    <cfRule type="expression" priority="1342" dxfId="3">
      <formula>=AND(G39&lt;('تنظیمات'!$C$5+110),H39&gt;('تنظیمات'!$C$5+105),F39&gt;0)</formula>
    </cfRule>
  </conditionalFormatting>
  <conditionalFormatting sqref="AF39">
    <cfRule type="expression" priority="1343" dxfId="3">
      <formula>=AND(G39&lt;('تنظیمات'!$C$5+115),H39&gt;('تنظیمات'!$C$5+110),F39&gt;0)</formula>
    </cfRule>
  </conditionalFormatting>
  <conditionalFormatting sqref="AG39">
    <cfRule type="expression" priority="1344" dxfId="3">
      <formula>=AND(G39&lt;('تنظیمات'!$C$5+120),H39&gt;('تنظیمات'!$C$5+115),F39&gt;0)</formula>
    </cfRule>
  </conditionalFormatting>
  <conditionalFormatting sqref="AH39">
    <cfRule type="expression" priority="1345" dxfId="3">
      <formula>=AND(G39&lt;('تنظیمات'!$C$5+125),H39&gt;('تنظیمات'!$C$5+120),F39&gt;0)</formula>
    </cfRule>
  </conditionalFormatting>
  <conditionalFormatting sqref="AI39">
    <cfRule type="expression" priority="1346" dxfId="3">
      <formula>=AND(G39&lt;('تنظیمات'!$C$5+130),H39&gt;('تنظیمات'!$C$5+125),F39&gt;0)</formula>
    </cfRule>
  </conditionalFormatting>
  <conditionalFormatting sqref="AJ39">
    <cfRule type="expression" priority="1347" dxfId="3">
      <formula>=AND(G39&lt;('تنظیمات'!$C$5+135),H39&gt;('تنظیمات'!$C$5+130),F39&gt;0)</formula>
    </cfRule>
  </conditionalFormatting>
  <conditionalFormatting sqref="AK39">
    <cfRule type="expression" priority="1348" dxfId="3">
      <formula>=AND(G39&lt;('تنظیمات'!$C$5+140),H39&gt;('تنظیمات'!$C$5+135),F39&gt;0)</formula>
    </cfRule>
  </conditionalFormatting>
  <conditionalFormatting sqref="AL39">
    <cfRule type="expression" priority="1349" dxfId="3">
      <formula>=AND(G39&lt;('تنظیمات'!$C$5+145),H39&gt;('تنظیمات'!$C$5+140),F39&gt;0)</formula>
    </cfRule>
  </conditionalFormatting>
  <conditionalFormatting sqref="AM39">
    <cfRule type="expression" priority="1350" dxfId="3">
      <formula>=AND(G39&lt;('تنظیمات'!$C$5+150),H39&gt;('تنظیمات'!$C$5+145),F39&gt;0)</formula>
    </cfRule>
  </conditionalFormatting>
  <conditionalFormatting sqref="AN39">
    <cfRule type="expression" priority="1351" dxfId="3">
      <formula>=AND(G39&lt;('تنظیمات'!$C$5+155),H39&gt;('تنظیمات'!$C$5+150),F39&gt;0)</formula>
    </cfRule>
  </conditionalFormatting>
  <conditionalFormatting sqref="AO39">
    <cfRule type="expression" priority="1352" dxfId="3">
      <formula>=AND(G39&lt;('تنظیمات'!$C$5+160),H39&gt;('تنظیمات'!$C$5+155),F39&gt;0)</formula>
    </cfRule>
  </conditionalFormatting>
  <conditionalFormatting sqref="AP39">
    <cfRule type="expression" priority="1353" dxfId="3">
      <formula>=AND(G39&lt;('تنظیمات'!$C$5+165),H39&gt;('تنظیمات'!$C$5+160),F39&gt;0)</formula>
    </cfRule>
  </conditionalFormatting>
  <conditionalFormatting sqref="AQ39">
    <cfRule type="expression" priority="1354" dxfId="3">
      <formula>=AND(G39&lt;('تنظیمات'!$C$5+170),H39&gt;('تنظیمات'!$C$5+165),F39&gt;0)</formula>
    </cfRule>
  </conditionalFormatting>
  <conditionalFormatting sqref="AR39">
    <cfRule type="expression" priority="1355" dxfId="3">
      <formula>=AND(G39&lt;('تنظیمات'!$C$5+175),H39&gt;('تنظیمات'!$C$5+170),F39&gt;0)</formula>
    </cfRule>
  </conditionalFormatting>
  <conditionalFormatting sqref="AS39">
    <cfRule type="expression" priority="1356" dxfId="3">
      <formula>=AND(G39&lt;('تنظیمات'!$C$5+180),H39&gt;('تنظیمات'!$C$5+175),F39&gt;0)</formula>
    </cfRule>
  </conditionalFormatting>
  <conditionalFormatting sqref="AT39">
    <cfRule type="expression" priority="1357" dxfId="3">
      <formula>=AND(G39&lt;('تنظیمات'!$C$5+185),H39&gt;('تنظیمات'!$C$5+180),F39&gt;0)</formula>
    </cfRule>
  </conditionalFormatting>
  <conditionalFormatting sqref="AU39">
    <cfRule type="expression" priority="1358" dxfId="3">
      <formula>=AND(G39&lt;('تنظیمات'!$C$5+190),H39&gt;('تنظیمات'!$C$5+185),F39&gt;0)</formula>
    </cfRule>
  </conditionalFormatting>
  <conditionalFormatting sqref="AV39">
    <cfRule type="expression" priority="1359" dxfId="3">
      <formula>=AND(G39&lt;('تنظیمات'!$C$5+195),H39&gt;('تنظیمات'!$C$5+190),F39&gt;0)</formula>
    </cfRule>
  </conditionalFormatting>
  <conditionalFormatting sqref="AW39">
    <cfRule type="expression" priority="1360" dxfId="3">
      <formula>=AND(G39&lt;('تنظیمات'!$C$5+200),H39&gt;('تنظیمات'!$C$5+195),F39&gt;0)</formula>
    </cfRule>
  </conditionalFormatting>
  <conditionalFormatting sqref="J40">
    <cfRule type="expression" priority="1361" dxfId="3">
      <formula>=AND(G40&lt;('تنظیمات'!$C$5+5),H40&gt;('تنظیمات'!$C$5+0),F40&gt;0)</formula>
    </cfRule>
  </conditionalFormatting>
  <conditionalFormatting sqref="K40">
    <cfRule type="expression" priority="1362" dxfId="3">
      <formula>=AND(G40&lt;('تنظیمات'!$C$5+10),H40&gt;('تنظیمات'!$C$5+5),F40&gt;0)</formula>
    </cfRule>
  </conditionalFormatting>
  <conditionalFormatting sqref="L40">
    <cfRule type="expression" priority="1363" dxfId="3">
      <formula>=AND(G40&lt;('تنظیمات'!$C$5+15),H40&gt;('تنظیمات'!$C$5+10),F40&gt;0)</formula>
    </cfRule>
  </conditionalFormatting>
  <conditionalFormatting sqref="M40">
    <cfRule type="expression" priority="1364" dxfId="3">
      <formula>=AND(G40&lt;('تنظیمات'!$C$5+20),H40&gt;('تنظیمات'!$C$5+15),F40&gt;0)</formula>
    </cfRule>
  </conditionalFormatting>
  <conditionalFormatting sqref="N40">
    <cfRule type="expression" priority="1365" dxfId="3">
      <formula>=AND(G40&lt;('تنظیمات'!$C$5+25),H40&gt;('تنظیمات'!$C$5+20),F40&gt;0)</formula>
    </cfRule>
  </conditionalFormatting>
  <conditionalFormatting sqref="O40">
    <cfRule type="expression" priority="1366" dxfId="3">
      <formula>=AND(G40&lt;('تنظیمات'!$C$5+30),H40&gt;('تنظیمات'!$C$5+25),F40&gt;0)</formula>
    </cfRule>
  </conditionalFormatting>
  <conditionalFormatting sqref="P40">
    <cfRule type="expression" priority="1367" dxfId="3">
      <formula>=AND(G40&lt;('تنظیمات'!$C$5+35),H40&gt;('تنظیمات'!$C$5+30),F40&gt;0)</formula>
    </cfRule>
  </conditionalFormatting>
  <conditionalFormatting sqref="Q40">
    <cfRule type="expression" priority="1368" dxfId="3">
      <formula>=AND(G40&lt;('تنظیمات'!$C$5+40),H40&gt;('تنظیمات'!$C$5+35),F40&gt;0)</formula>
    </cfRule>
  </conditionalFormatting>
  <conditionalFormatting sqref="R40">
    <cfRule type="expression" priority="1369" dxfId="3">
      <formula>=AND(G40&lt;('تنظیمات'!$C$5+45),H40&gt;('تنظیمات'!$C$5+40),F40&gt;0)</formula>
    </cfRule>
  </conditionalFormatting>
  <conditionalFormatting sqref="S40">
    <cfRule type="expression" priority="1370" dxfId="3">
      <formula>=AND(G40&lt;('تنظیمات'!$C$5+50),H40&gt;('تنظیمات'!$C$5+45),F40&gt;0)</formula>
    </cfRule>
  </conditionalFormatting>
  <conditionalFormatting sqref="T40">
    <cfRule type="expression" priority="1371" dxfId="3">
      <formula>=AND(G40&lt;('تنظیمات'!$C$5+55),H40&gt;('تنظیمات'!$C$5+50),F40&gt;0)</formula>
    </cfRule>
  </conditionalFormatting>
  <conditionalFormatting sqref="U40">
    <cfRule type="expression" priority="1372" dxfId="3">
      <formula>=AND(G40&lt;('تنظیمات'!$C$5+60),H40&gt;('تنظیمات'!$C$5+55),F40&gt;0)</formula>
    </cfRule>
  </conditionalFormatting>
  <conditionalFormatting sqref="V40">
    <cfRule type="expression" priority="1373" dxfId="3">
      <formula>=AND(G40&lt;('تنظیمات'!$C$5+65),H40&gt;('تنظیمات'!$C$5+60),F40&gt;0)</formula>
    </cfRule>
  </conditionalFormatting>
  <conditionalFormatting sqref="W40">
    <cfRule type="expression" priority="1374" dxfId="3">
      <formula>=AND(G40&lt;('تنظیمات'!$C$5+70),H40&gt;('تنظیمات'!$C$5+65),F40&gt;0)</formula>
    </cfRule>
  </conditionalFormatting>
  <conditionalFormatting sqref="X40">
    <cfRule type="expression" priority="1375" dxfId="3">
      <formula>=AND(G40&lt;('تنظیمات'!$C$5+75),H40&gt;('تنظیمات'!$C$5+70),F40&gt;0)</formula>
    </cfRule>
  </conditionalFormatting>
  <conditionalFormatting sqref="Y40">
    <cfRule type="expression" priority="1376" dxfId="3">
      <formula>=AND(G40&lt;('تنظیمات'!$C$5+80),H40&gt;('تنظیمات'!$C$5+75),F40&gt;0)</formula>
    </cfRule>
  </conditionalFormatting>
  <conditionalFormatting sqref="Z40">
    <cfRule type="expression" priority="1377" dxfId="3">
      <formula>=AND(G40&lt;('تنظیمات'!$C$5+85),H40&gt;('تنظیمات'!$C$5+80),F40&gt;0)</formula>
    </cfRule>
  </conditionalFormatting>
  <conditionalFormatting sqref="AA40">
    <cfRule type="expression" priority="1378" dxfId="3">
      <formula>=AND(G40&lt;('تنظیمات'!$C$5+90),H40&gt;('تنظیمات'!$C$5+85),F40&gt;0)</formula>
    </cfRule>
  </conditionalFormatting>
  <conditionalFormatting sqref="AB40">
    <cfRule type="expression" priority="1379" dxfId="3">
      <formula>=AND(G40&lt;('تنظیمات'!$C$5+95),H40&gt;('تنظیمات'!$C$5+90),F40&gt;0)</formula>
    </cfRule>
  </conditionalFormatting>
  <conditionalFormatting sqref="AC40">
    <cfRule type="expression" priority="1380" dxfId="3">
      <formula>=AND(G40&lt;('تنظیمات'!$C$5+100),H40&gt;('تنظیمات'!$C$5+95),F40&gt;0)</formula>
    </cfRule>
  </conditionalFormatting>
  <conditionalFormatting sqref="AD40">
    <cfRule type="expression" priority="1381" dxfId="3">
      <formula>=AND(G40&lt;('تنظیمات'!$C$5+105),H40&gt;('تنظیمات'!$C$5+100),F40&gt;0)</formula>
    </cfRule>
  </conditionalFormatting>
  <conditionalFormatting sqref="AE40">
    <cfRule type="expression" priority="1382" dxfId="3">
      <formula>=AND(G40&lt;('تنظیمات'!$C$5+110),H40&gt;('تنظیمات'!$C$5+105),F40&gt;0)</formula>
    </cfRule>
  </conditionalFormatting>
  <conditionalFormatting sqref="AF40">
    <cfRule type="expression" priority="1383" dxfId="3">
      <formula>=AND(G40&lt;('تنظیمات'!$C$5+115),H40&gt;('تنظیمات'!$C$5+110),F40&gt;0)</formula>
    </cfRule>
  </conditionalFormatting>
  <conditionalFormatting sqref="AG40">
    <cfRule type="expression" priority="1384" dxfId="3">
      <formula>=AND(G40&lt;('تنظیمات'!$C$5+120),H40&gt;('تنظیمات'!$C$5+115),F40&gt;0)</formula>
    </cfRule>
  </conditionalFormatting>
  <conditionalFormatting sqref="AH40">
    <cfRule type="expression" priority="1385" dxfId="3">
      <formula>=AND(G40&lt;('تنظیمات'!$C$5+125),H40&gt;('تنظیمات'!$C$5+120),F40&gt;0)</formula>
    </cfRule>
  </conditionalFormatting>
  <conditionalFormatting sqref="AI40">
    <cfRule type="expression" priority="1386" dxfId="3">
      <formula>=AND(G40&lt;('تنظیمات'!$C$5+130),H40&gt;('تنظیمات'!$C$5+125),F40&gt;0)</formula>
    </cfRule>
  </conditionalFormatting>
  <conditionalFormatting sqref="AJ40">
    <cfRule type="expression" priority="1387" dxfId="3">
      <formula>=AND(G40&lt;('تنظیمات'!$C$5+135),H40&gt;('تنظیمات'!$C$5+130),F40&gt;0)</formula>
    </cfRule>
  </conditionalFormatting>
  <conditionalFormatting sqref="AK40">
    <cfRule type="expression" priority="1388" dxfId="3">
      <formula>=AND(G40&lt;('تنظیمات'!$C$5+140),H40&gt;('تنظیمات'!$C$5+135),F40&gt;0)</formula>
    </cfRule>
  </conditionalFormatting>
  <conditionalFormatting sqref="AL40">
    <cfRule type="expression" priority="1389" dxfId="3">
      <formula>=AND(G40&lt;('تنظیمات'!$C$5+145),H40&gt;('تنظیمات'!$C$5+140),F40&gt;0)</formula>
    </cfRule>
  </conditionalFormatting>
  <conditionalFormatting sqref="AM40">
    <cfRule type="expression" priority="1390" dxfId="3">
      <formula>=AND(G40&lt;('تنظیمات'!$C$5+150),H40&gt;('تنظیمات'!$C$5+145),F40&gt;0)</formula>
    </cfRule>
  </conditionalFormatting>
  <conditionalFormatting sqref="AN40">
    <cfRule type="expression" priority="1391" dxfId="3">
      <formula>=AND(G40&lt;('تنظیمات'!$C$5+155),H40&gt;('تنظیمات'!$C$5+150),F40&gt;0)</formula>
    </cfRule>
  </conditionalFormatting>
  <conditionalFormatting sqref="AO40">
    <cfRule type="expression" priority="1392" dxfId="3">
      <formula>=AND(G40&lt;('تنظیمات'!$C$5+160),H40&gt;('تنظیمات'!$C$5+155),F40&gt;0)</formula>
    </cfRule>
  </conditionalFormatting>
  <conditionalFormatting sqref="AP40">
    <cfRule type="expression" priority="1393" dxfId="3">
      <formula>=AND(G40&lt;('تنظیمات'!$C$5+165),H40&gt;('تنظیمات'!$C$5+160),F40&gt;0)</formula>
    </cfRule>
  </conditionalFormatting>
  <conditionalFormatting sqref="AQ40">
    <cfRule type="expression" priority="1394" dxfId="3">
      <formula>=AND(G40&lt;('تنظیمات'!$C$5+170),H40&gt;('تنظیمات'!$C$5+165),F40&gt;0)</formula>
    </cfRule>
  </conditionalFormatting>
  <conditionalFormatting sqref="AR40">
    <cfRule type="expression" priority="1395" dxfId="3">
      <formula>=AND(G40&lt;('تنظیمات'!$C$5+175),H40&gt;('تنظیمات'!$C$5+170),F40&gt;0)</formula>
    </cfRule>
  </conditionalFormatting>
  <conditionalFormatting sqref="AS40">
    <cfRule type="expression" priority="1396" dxfId="3">
      <formula>=AND(G40&lt;('تنظیمات'!$C$5+180),H40&gt;('تنظیمات'!$C$5+175),F40&gt;0)</formula>
    </cfRule>
  </conditionalFormatting>
  <conditionalFormatting sqref="AT40">
    <cfRule type="expression" priority="1397" dxfId="3">
      <formula>=AND(G40&lt;('تنظیمات'!$C$5+185),H40&gt;('تنظیمات'!$C$5+180),F40&gt;0)</formula>
    </cfRule>
  </conditionalFormatting>
  <conditionalFormatting sqref="AU40">
    <cfRule type="expression" priority="1398" dxfId="3">
      <formula>=AND(G40&lt;('تنظیمات'!$C$5+190),H40&gt;('تنظیمات'!$C$5+185),F40&gt;0)</formula>
    </cfRule>
  </conditionalFormatting>
  <conditionalFormatting sqref="AV40">
    <cfRule type="expression" priority="1399" dxfId="3">
      <formula>=AND(G40&lt;('تنظیمات'!$C$5+195),H40&gt;('تنظیمات'!$C$5+190),F40&gt;0)</formula>
    </cfRule>
  </conditionalFormatting>
  <conditionalFormatting sqref="AW40">
    <cfRule type="expression" priority="1400" dxfId="3">
      <formula>=AND(G40&lt;('تنظیمات'!$C$5+200),H40&gt;('تنظیمات'!$C$5+195),F40&gt;0)</formula>
    </cfRule>
  </conditionalFormatting>
  <conditionalFormatting sqref="J41">
    <cfRule type="expression" priority="1401" dxfId="3">
      <formula>=AND(G41&lt;('تنظیمات'!$C$5+5),H41&gt;('تنظیمات'!$C$5+0),F41&gt;0)</formula>
    </cfRule>
  </conditionalFormatting>
  <conditionalFormatting sqref="K41">
    <cfRule type="expression" priority="1402" dxfId="3">
      <formula>=AND(G41&lt;('تنظیمات'!$C$5+10),H41&gt;('تنظیمات'!$C$5+5),F41&gt;0)</formula>
    </cfRule>
  </conditionalFormatting>
  <conditionalFormatting sqref="L41">
    <cfRule type="expression" priority="1403" dxfId="3">
      <formula>=AND(G41&lt;('تنظیمات'!$C$5+15),H41&gt;('تنظیمات'!$C$5+10),F41&gt;0)</formula>
    </cfRule>
  </conditionalFormatting>
  <conditionalFormatting sqref="M41">
    <cfRule type="expression" priority="1404" dxfId="3">
      <formula>=AND(G41&lt;('تنظیمات'!$C$5+20),H41&gt;('تنظیمات'!$C$5+15),F41&gt;0)</formula>
    </cfRule>
  </conditionalFormatting>
  <conditionalFormatting sqref="N41">
    <cfRule type="expression" priority="1405" dxfId="3">
      <formula>=AND(G41&lt;('تنظیمات'!$C$5+25),H41&gt;('تنظیمات'!$C$5+20),F41&gt;0)</formula>
    </cfRule>
  </conditionalFormatting>
  <conditionalFormatting sqref="O41">
    <cfRule type="expression" priority="1406" dxfId="3">
      <formula>=AND(G41&lt;('تنظیمات'!$C$5+30),H41&gt;('تنظیمات'!$C$5+25),F41&gt;0)</formula>
    </cfRule>
  </conditionalFormatting>
  <conditionalFormatting sqref="P41">
    <cfRule type="expression" priority="1407" dxfId="3">
      <formula>=AND(G41&lt;('تنظیمات'!$C$5+35),H41&gt;('تنظیمات'!$C$5+30),F41&gt;0)</formula>
    </cfRule>
  </conditionalFormatting>
  <conditionalFormatting sqref="Q41">
    <cfRule type="expression" priority="1408" dxfId="3">
      <formula>=AND(G41&lt;('تنظیمات'!$C$5+40),H41&gt;('تنظیمات'!$C$5+35),F41&gt;0)</formula>
    </cfRule>
  </conditionalFormatting>
  <conditionalFormatting sqref="R41">
    <cfRule type="expression" priority="1409" dxfId="3">
      <formula>=AND(G41&lt;('تنظیمات'!$C$5+45),H41&gt;('تنظیمات'!$C$5+40),F41&gt;0)</formula>
    </cfRule>
  </conditionalFormatting>
  <conditionalFormatting sqref="S41">
    <cfRule type="expression" priority="1410" dxfId="3">
      <formula>=AND(G41&lt;('تنظیمات'!$C$5+50),H41&gt;('تنظیمات'!$C$5+45),F41&gt;0)</formula>
    </cfRule>
  </conditionalFormatting>
  <conditionalFormatting sqref="T41">
    <cfRule type="expression" priority="1411" dxfId="3">
      <formula>=AND(G41&lt;('تنظیمات'!$C$5+55),H41&gt;('تنظیمات'!$C$5+50),F41&gt;0)</formula>
    </cfRule>
  </conditionalFormatting>
  <conditionalFormatting sqref="U41">
    <cfRule type="expression" priority="1412" dxfId="3">
      <formula>=AND(G41&lt;('تنظیمات'!$C$5+60),H41&gt;('تنظیمات'!$C$5+55),F41&gt;0)</formula>
    </cfRule>
  </conditionalFormatting>
  <conditionalFormatting sqref="V41">
    <cfRule type="expression" priority="1413" dxfId="3">
      <formula>=AND(G41&lt;('تنظیمات'!$C$5+65),H41&gt;('تنظیمات'!$C$5+60),F41&gt;0)</formula>
    </cfRule>
  </conditionalFormatting>
  <conditionalFormatting sqref="W41">
    <cfRule type="expression" priority="1414" dxfId="3">
      <formula>=AND(G41&lt;('تنظیمات'!$C$5+70),H41&gt;('تنظیمات'!$C$5+65),F41&gt;0)</formula>
    </cfRule>
  </conditionalFormatting>
  <conditionalFormatting sqref="X41">
    <cfRule type="expression" priority="1415" dxfId="3">
      <formula>=AND(G41&lt;('تنظیمات'!$C$5+75),H41&gt;('تنظیمات'!$C$5+70),F41&gt;0)</formula>
    </cfRule>
  </conditionalFormatting>
  <conditionalFormatting sqref="Y41">
    <cfRule type="expression" priority="1416" dxfId="3">
      <formula>=AND(G41&lt;('تنظیمات'!$C$5+80),H41&gt;('تنظیمات'!$C$5+75),F41&gt;0)</formula>
    </cfRule>
  </conditionalFormatting>
  <conditionalFormatting sqref="Z41">
    <cfRule type="expression" priority="1417" dxfId="3">
      <formula>=AND(G41&lt;('تنظیمات'!$C$5+85),H41&gt;('تنظیمات'!$C$5+80),F41&gt;0)</formula>
    </cfRule>
  </conditionalFormatting>
  <conditionalFormatting sqref="AA41">
    <cfRule type="expression" priority="1418" dxfId="3">
      <formula>=AND(G41&lt;('تنظیمات'!$C$5+90),H41&gt;('تنظیمات'!$C$5+85),F41&gt;0)</formula>
    </cfRule>
  </conditionalFormatting>
  <conditionalFormatting sqref="AB41">
    <cfRule type="expression" priority="1419" dxfId="3">
      <formula>=AND(G41&lt;('تنظیمات'!$C$5+95),H41&gt;('تنظیمات'!$C$5+90),F41&gt;0)</formula>
    </cfRule>
  </conditionalFormatting>
  <conditionalFormatting sqref="AC41">
    <cfRule type="expression" priority="1420" dxfId="3">
      <formula>=AND(G41&lt;('تنظیمات'!$C$5+100),H41&gt;('تنظیمات'!$C$5+95),F41&gt;0)</formula>
    </cfRule>
  </conditionalFormatting>
  <conditionalFormatting sqref="AD41">
    <cfRule type="expression" priority="1421" dxfId="3">
      <formula>=AND(G41&lt;('تنظیمات'!$C$5+105),H41&gt;('تنظیمات'!$C$5+100),F41&gt;0)</formula>
    </cfRule>
  </conditionalFormatting>
  <conditionalFormatting sqref="AE41">
    <cfRule type="expression" priority="1422" dxfId="3">
      <formula>=AND(G41&lt;('تنظیمات'!$C$5+110),H41&gt;('تنظیمات'!$C$5+105),F41&gt;0)</formula>
    </cfRule>
  </conditionalFormatting>
  <conditionalFormatting sqref="AF41">
    <cfRule type="expression" priority="1423" dxfId="3">
      <formula>=AND(G41&lt;('تنظیمات'!$C$5+115),H41&gt;('تنظیمات'!$C$5+110),F41&gt;0)</formula>
    </cfRule>
  </conditionalFormatting>
  <conditionalFormatting sqref="AG41">
    <cfRule type="expression" priority="1424" dxfId="3">
      <formula>=AND(G41&lt;('تنظیمات'!$C$5+120),H41&gt;('تنظیمات'!$C$5+115),F41&gt;0)</formula>
    </cfRule>
  </conditionalFormatting>
  <conditionalFormatting sqref="AH41">
    <cfRule type="expression" priority="1425" dxfId="3">
      <formula>=AND(G41&lt;('تنظیمات'!$C$5+125),H41&gt;('تنظیمات'!$C$5+120),F41&gt;0)</formula>
    </cfRule>
  </conditionalFormatting>
  <conditionalFormatting sqref="AI41">
    <cfRule type="expression" priority="1426" dxfId="3">
      <formula>=AND(G41&lt;('تنظیمات'!$C$5+130),H41&gt;('تنظیمات'!$C$5+125),F41&gt;0)</formula>
    </cfRule>
  </conditionalFormatting>
  <conditionalFormatting sqref="AJ41">
    <cfRule type="expression" priority="1427" dxfId="3">
      <formula>=AND(G41&lt;('تنظیمات'!$C$5+135),H41&gt;('تنظیمات'!$C$5+130),F41&gt;0)</formula>
    </cfRule>
  </conditionalFormatting>
  <conditionalFormatting sqref="AK41">
    <cfRule type="expression" priority="1428" dxfId="3">
      <formula>=AND(G41&lt;('تنظیمات'!$C$5+140),H41&gt;('تنظیمات'!$C$5+135),F41&gt;0)</formula>
    </cfRule>
  </conditionalFormatting>
  <conditionalFormatting sqref="AL41">
    <cfRule type="expression" priority="1429" dxfId="3">
      <formula>=AND(G41&lt;('تنظیمات'!$C$5+145),H41&gt;('تنظیمات'!$C$5+140),F41&gt;0)</formula>
    </cfRule>
  </conditionalFormatting>
  <conditionalFormatting sqref="AM41">
    <cfRule type="expression" priority="1430" dxfId="3">
      <formula>=AND(G41&lt;('تنظیمات'!$C$5+150),H41&gt;('تنظیمات'!$C$5+145),F41&gt;0)</formula>
    </cfRule>
  </conditionalFormatting>
  <conditionalFormatting sqref="AN41">
    <cfRule type="expression" priority="1431" dxfId="3">
      <formula>=AND(G41&lt;('تنظیمات'!$C$5+155),H41&gt;('تنظیمات'!$C$5+150),F41&gt;0)</formula>
    </cfRule>
  </conditionalFormatting>
  <conditionalFormatting sqref="AO41">
    <cfRule type="expression" priority="1432" dxfId="3">
      <formula>=AND(G41&lt;('تنظیمات'!$C$5+160),H41&gt;('تنظیمات'!$C$5+155),F41&gt;0)</formula>
    </cfRule>
  </conditionalFormatting>
  <conditionalFormatting sqref="AP41">
    <cfRule type="expression" priority="1433" dxfId="3">
      <formula>=AND(G41&lt;('تنظیمات'!$C$5+165),H41&gt;('تنظیمات'!$C$5+160),F41&gt;0)</formula>
    </cfRule>
  </conditionalFormatting>
  <conditionalFormatting sqref="AQ41">
    <cfRule type="expression" priority="1434" dxfId="3">
      <formula>=AND(G41&lt;('تنظیمات'!$C$5+170),H41&gt;('تنظیمات'!$C$5+165),F41&gt;0)</formula>
    </cfRule>
  </conditionalFormatting>
  <conditionalFormatting sqref="AR41">
    <cfRule type="expression" priority="1435" dxfId="3">
      <formula>=AND(G41&lt;('تنظیمات'!$C$5+175),H41&gt;('تنظیمات'!$C$5+170),F41&gt;0)</formula>
    </cfRule>
  </conditionalFormatting>
  <conditionalFormatting sqref="AS41">
    <cfRule type="expression" priority="1436" dxfId="3">
      <formula>=AND(G41&lt;('تنظیمات'!$C$5+180),H41&gt;('تنظیمات'!$C$5+175),F41&gt;0)</formula>
    </cfRule>
  </conditionalFormatting>
  <conditionalFormatting sqref="AT41">
    <cfRule type="expression" priority="1437" dxfId="3">
      <formula>=AND(G41&lt;('تنظیمات'!$C$5+185),H41&gt;('تنظیمات'!$C$5+180),F41&gt;0)</formula>
    </cfRule>
  </conditionalFormatting>
  <conditionalFormatting sqref="AU41">
    <cfRule type="expression" priority="1438" dxfId="3">
      <formula>=AND(G41&lt;('تنظیمات'!$C$5+190),H41&gt;('تنظیمات'!$C$5+185),F41&gt;0)</formula>
    </cfRule>
  </conditionalFormatting>
  <conditionalFormatting sqref="AV41">
    <cfRule type="expression" priority="1439" dxfId="3">
      <formula>=AND(G41&lt;('تنظیمات'!$C$5+195),H41&gt;('تنظیمات'!$C$5+190),F41&gt;0)</formula>
    </cfRule>
  </conditionalFormatting>
  <conditionalFormatting sqref="AW41">
    <cfRule type="expression" priority="1440" dxfId="3">
      <formula>=AND(G41&lt;('تنظیمات'!$C$5+200),H41&gt;('تنظیمات'!$C$5+195),F41&gt;0)</formula>
    </cfRule>
  </conditionalFormatting>
  <conditionalFormatting sqref="J42">
    <cfRule type="expression" priority="1441" dxfId="1">
      <formula>=AND(G42&gt;=('تنظیمات'!$C$5+0),G42&lt;('تنظیمات'!$C$5+5))</formula>
    </cfRule>
  </conditionalFormatting>
  <conditionalFormatting sqref="K42">
    <cfRule type="expression" priority="1442" dxfId="1">
      <formula>=AND(G42&gt;=('تنظیمات'!$C$5+5),G42&lt;('تنظیمات'!$C$5+10))</formula>
    </cfRule>
  </conditionalFormatting>
  <conditionalFormatting sqref="L42">
    <cfRule type="expression" priority="1443" dxfId="1">
      <formula>=AND(G42&gt;=('تنظیمات'!$C$5+10),G42&lt;('تنظیمات'!$C$5+15))</formula>
    </cfRule>
  </conditionalFormatting>
  <conditionalFormatting sqref="M42">
    <cfRule type="expression" priority="1444" dxfId="1">
      <formula>=AND(G42&gt;=('تنظیمات'!$C$5+15),G42&lt;('تنظیمات'!$C$5+20))</formula>
    </cfRule>
  </conditionalFormatting>
  <conditionalFormatting sqref="N42">
    <cfRule type="expression" priority="1445" dxfId="1">
      <formula>=AND(G42&gt;=('تنظیمات'!$C$5+20),G42&lt;('تنظیمات'!$C$5+25))</formula>
    </cfRule>
  </conditionalFormatting>
  <conditionalFormatting sqref="O42">
    <cfRule type="expression" priority="1446" dxfId="1">
      <formula>=AND(G42&gt;=('تنظیمات'!$C$5+25),G42&lt;('تنظیمات'!$C$5+30))</formula>
    </cfRule>
  </conditionalFormatting>
  <conditionalFormatting sqref="P42">
    <cfRule type="expression" priority="1447" dxfId="1">
      <formula>=AND(G42&gt;=('تنظیمات'!$C$5+30),G42&lt;('تنظیمات'!$C$5+35))</formula>
    </cfRule>
  </conditionalFormatting>
  <conditionalFormatting sqref="Q42">
    <cfRule type="expression" priority="1448" dxfId="1">
      <formula>=AND(G42&gt;=('تنظیمات'!$C$5+35),G42&lt;('تنظیمات'!$C$5+40))</formula>
    </cfRule>
  </conditionalFormatting>
  <conditionalFormatting sqref="R42">
    <cfRule type="expression" priority="1449" dxfId="1">
      <formula>=AND(G42&gt;=('تنظیمات'!$C$5+40),G42&lt;('تنظیمات'!$C$5+45))</formula>
    </cfRule>
  </conditionalFormatting>
  <conditionalFormatting sqref="S42">
    <cfRule type="expression" priority="1450" dxfId="1">
      <formula>=AND(G42&gt;=('تنظیمات'!$C$5+45),G42&lt;('تنظیمات'!$C$5+50))</formula>
    </cfRule>
  </conditionalFormatting>
  <conditionalFormatting sqref="T42">
    <cfRule type="expression" priority="1451" dxfId="1">
      <formula>=AND(G42&gt;=('تنظیمات'!$C$5+50),G42&lt;('تنظیمات'!$C$5+55))</formula>
    </cfRule>
  </conditionalFormatting>
  <conditionalFormatting sqref="U42">
    <cfRule type="expression" priority="1452" dxfId="1">
      <formula>=AND(G42&gt;=('تنظیمات'!$C$5+55),G42&lt;('تنظیمات'!$C$5+60))</formula>
    </cfRule>
  </conditionalFormatting>
  <conditionalFormatting sqref="V42">
    <cfRule type="expression" priority="1453" dxfId="1">
      <formula>=AND(G42&gt;=('تنظیمات'!$C$5+60),G42&lt;('تنظیمات'!$C$5+65))</formula>
    </cfRule>
  </conditionalFormatting>
  <conditionalFormatting sqref="W42">
    <cfRule type="expression" priority="1454" dxfId="1">
      <formula>=AND(G42&gt;=('تنظیمات'!$C$5+65),G42&lt;('تنظیمات'!$C$5+70))</formula>
    </cfRule>
  </conditionalFormatting>
  <conditionalFormatting sqref="X42">
    <cfRule type="expression" priority="1455" dxfId="1">
      <formula>=AND(G42&gt;=('تنظیمات'!$C$5+70),G42&lt;('تنظیمات'!$C$5+75))</formula>
    </cfRule>
  </conditionalFormatting>
  <conditionalFormatting sqref="Y42">
    <cfRule type="expression" priority="1456" dxfId="1">
      <formula>=AND(G42&gt;=('تنظیمات'!$C$5+75),G42&lt;('تنظیمات'!$C$5+80))</formula>
    </cfRule>
  </conditionalFormatting>
  <conditionalFormatting sqref="Z42">
    <cfRule type="expression" priority="1457" dxfId="1">
      <formula>=AND(G42&gt;=('تنظیمات'!$C$5+80),G42&lt;('تنظیمات'!$C$5+85))</formula>
    </cfRule>
  </conditionalFormatting>
  <conditionalFormatting sqref="AA42">
    <cfRule type="expression" priority="1458" dxfId="1">
      <formula>=AND(G42&gt;=('تنظیمات'!$C$5+85),G42&lt;('تنظیمات'!$C$5+90))</formula>
    </cfRule>
  </conditionalFormatting>
  <conditionalFormatting sqref="AB42">
    <cfRule type="expression" priority="1459" dxfId="1">
      <formula>=AND(G42&gt;=('تنظیمات'!$C$5+90),G42&lt;('تنظیمات'!$C$5+95))</formula>
    </cfRule>
  </conditionalFormatting>
  <conditionalFormatting sqref="AC42">
    <cfRule type="expression" priority="1460" dxfId="1">
      <formula>=AND(G42&gt;=('تنظیمات'!$C$5+95),G42&lt;('تنظیمات'!$C$5+100))</formula>
    </cfRule>
  </conditionalFormatting>
  <conditionalFormatting sqref="AD42">
    <cfRule type="expression" priority="1461" dxfId="1">
      <formula>=AND(G42&gt;=('تنظیمات'!$C$5+100),G42&lt;('تنظیمات'!$C$5+105))</formula>
    </cfRule>
  </conditionalFormatting>
  <conditionalFormatting sqref="AE42">
    <cfRule type="expression" priority="1462" dxfId="1">
      <formula>=AND(G42&gt;=('تنظیمات'!$C$5+105),G42&lt;('تنظیمات'!$C$5+110))</formula>
    </cfRule>
  </conditionalFormatting>
  <conditionalFormatting sqref="AF42">
    <cfRule type="expression" priority="1463" dxfId="1">
      <formula>=AND(G42&gt;=('تنظیمات'!$C$5+110),G42&lt;('تنظیمات'!$C$5+115))</formula>
    </cfRule>
  </conditionalFormatting>
  <conditionalFormatting sqref="AG42">
    <cfRule type="expression" priority="1464" dxfId="1">
      <formula>=AND(G42&gt;=('تنظیمات'!$C$5+115),G42&lt;('تنظیمات'!$C$5+120))</formula>
    </cfRule>
  </conditionalFormatting>
  <conditionalFormatting sqref="AH42">
    <cfRule type="expression" priority="1465" dxfId="1">
      <formula>=AND(G42&gt;=('تنظیمات'!$C$5+120),G42&lt;('تنظیمات'!$C$5+125))</formula>
    </cfRule>
  </conditionalFormatting>
  <conditionalFormatting sqref="AI42">
    <cfRule type="expression" priority="1466" dxfId="1">
      <formula>=AND(G42&gt;=('تنظیمات'!$C$5+125),G42&lt;('تنظیمات'!$C$5+130))</formula>
    </cfRule>
  </conditionalFormatting>
  <conditionalFormatting sqref="AJ42">
    <cfRule type="expression" priority="1467" dxfId="1">
      <formula>=AND(G42&gt;=('تنظیمات'!$C$5+130),G42&lt;('تنظیمات'!$C$5+135))</formula>
    </cfRule>
  </conditionalFormatting>
  <conditionalFormatting sqref="AK42">
    <cfRule type="expression" priority="1468" dxfId="1">
      <formula>=AND(G42&gt;=('تنظیمات'!$C$5+135),G42&lt;('تنظیمات'!$C$5+140))</formula>
    </cfRule>
  </conditionalFormatting>
  <conditionalFormatting sqref="AL42">
    <cfRule type="expression" priority="1469" dxfId="1">
      <formula>=AND(G42&gt;=('تنظیمات'!$C$5+140),G42&lt;('تنظیمات'!$C$5+145))</formula>
    </cfRule>
  </conditionalFormatting>
  <conditionalFormatting sqref="AM42">
    <cfRule type="expression" priority="1470" dxfId="1">
      <formula>=AND(G42&gt;=('تنظیمات'!$C$5+145),G42&lt;('تنظیمات'!$C$5+150))</formula>
    </cfRule>
  </conditionalFormatting>
  <conditionalFormatting sqref="AN42">
    <cfRule type="expression" priority="1471" dxfId="1">
      <formula>=AND(G42&gt;=('تنظیمات'!$C$5+150),G42&lt;('تنظیمات'!$C$5+155))</formula>
    </cfRule>
  </conditionalFormatting>
  <conditionalFormatting sqref="AO42">
    <cfRule type="expression" priority="1472" dxfId="1">
      <formula>=AND(G42&gt;=('تنظیمات'!$C$5+155),G42&lt;('تنظیمات'!$C$5+160))</formula>
    </cfRule>
  </conditionalFormatting>
  <conditionalFormatting sqref="AP42">
    <cfRule type="expression" priority="1473" dxfId="1">
      <formula>=AND(G42&gt;=('تنظیمات'!$C$5+160),G42&lt;('تنظیمات'!$C$5+165))</formula>
    </cfRule>
  </conditionalFormatting>
  <conditionalFormatting sqref="AQ42">
    <cfRule type="expression" priority="1474" dxfId="1">
      <formula>=AND(G42&gt;=('تنظیمات'!$C$5+165),G42&lt;('تنظیمات'!$C$5+170))</formula>
    </cfRule>
  </conditionalFormatting>
  <conditionalFormatting sqref="AR42">
    <cfRule type="expression" priority="1475" dxfId="1">
      <formula>=AND(G42&gt;=('تنظیمات'!$C$5+170),G42&lt;('تنظیمات'!$C$5+175))</formula>
    </cfRule>
  </conditionalFormatting>
  <conditionalFormatting sqref="AS42">
    <cfRule type="expression" priority="1476" dxfId="1">
      <formula>=AND(G42&gt;=('تنظیمات'!$C$5+175),G42&lt;('تنظیمات'!$C$5+180))</formula>
    </cfRule>
  </conditionalFormatting>
  <conditionalFormatting sqref="AT42">
    <cfRule type="expression" priority="1477" dxfId="1">
      <formula>=AND(G42&gt;=('تنظیمات'!$C$5+180),G42&lt;('تنظیمات'!$C$5+185))</formula>
    </cfRule>
  </conditionalFormatting>
  <conditionalFormatting sqref="AU42">
    <cfRule type="expression" priority="1478" dxfId="1">
      <formula>=AND(G42&gt;=('تنظیمات'!$C$5+185),G42&lt;('تنظیمات'!$C$5+190))</formula>
    </cfRule>
  </conditionalFormatting>
  <conditionalFormatting sqref="AV42">
    <cfRule type="expression" priority="1479" dxfId="1">
      <formula>=AND(G42&gt;=('تنظیمات'!$C$5+190),G42&lt;('تنظیمات'!$C$5+195))</formula>
    </cfRule>
  </conditionalFormatting>
  <conditionalFormatting sqref="AW42">
    <cfRule type="expression" priority="1480" dxfId="1">
      <formula>=AND(G42&gt;=('تنظیمات'!$C$5+195),G42&lt;('تنظیمات'!$C$5+200))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13"/>
  <sheetViews>
    <sheetView showGridLines="0"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7" customWidth="1" min="2" max="2"/>
    <col width="38" customWidth="1" min="3" max="3"/>
    <col width="23" customWidth="1" min="4" max="4"/>
  </cols>
  <sheetData>
    <row r="1" ht="15" customHeight="1"/>
    <row r="2" ht="32" customHeight="1">
      <c r="B2" s="1" t="inlineStr">
        <is>
          <t>خلاصه زمان‌بندی پروژه</t>
        </is>
      </c>
    </row>
    <row r="3" ht="8" customHeight="1"/>
    <row r="4" ht="28" customHeight="1">
      <c r="B4" s="2" t="inlineStr">
        <is>
          <t>شاخص</t>
        </is>
      </c>
      <c r="C4" s="2" t="inlineStr">
        <is>
          <t>مقدار</t>
        </is>
      </c>
      <c r="D4" s="2" t="inlineStr">
        <is>
          <t>توضیح</t>
        </is>
      </c>
    </row>
    <row r="5" ht="22" customHeight="1">
      <c r="B5" s="3" t="inlineStr">
        <is>
          <t>تاریخ شروع پروژه</t>
        </is>
      </c>
      <c r="C5" s="4">
        <f>'تنظیمات'!$C$5</f>
        <v/>
      </c>
      <c r="D5" s="3" t="inlineStr">
        <is>
          <t>شروع فاز ۱</t>
        </is>
      </c>
    </row>
    <row r="6" ht="22" customHeight="1">
      <c r="B6" s="5" t="inlineStr">
        <is>
          <t>تاریخ تحویل MVP (فاز ۱)</t>
        </is>
      </c>
      <c r="C6" s="31">
        <f>'گانت چارت'!G23</f>
        <v/>
      </c>
      <c r="D6" s="5" t="inlineStr">
        <is>
          <t>پایان فاز ۱</t>
        </is>
      </c>
    </row>
    <row r="7" ht="22" customHeight="1">
      <c r="B7" s="3" t="inlineStr">
        <is>
          <t>تاریخ تحویل نهایی (فاز ۲)</t>
        </is>
      </c>
      <c r="C7" s="4">
        <f>'گانت چارت'!G42</f>
        <v/>
      </c>
      <c r="D7" s="3" t="inlineStr">
        <is>
          <t>پایان فاز ۲</t>
        </is>
      </c>
    </row>
    <row r="8" ht="22" customHeight="1">
      <c r="B8" s="5" t="inlineStr">
        <is>
          <t>مدت فاز ۱ (روز)</t>
        </is>
      </c>
      <c r="C8" s="32">
        <f>'گانت چارت'!G23-'تنظیمات'!$C$5</f>
        <v/>
      </c>
      <c r="D8" s="5" t="inlineStr">
        <is>
          <t>از شروع تا MVP</t>
        </is>
      </c>
    </row>
    <row r="9" ht="22" customHeight="1">
      <c r="B9" s="3" t="inlineStr">
        <is>
          <t>مدت فاز ۲ (روز)</t>
        </is>
      </c>
      <c r="C9" s="33">
        <f>'گانت چارت'!G42-'گانت چارت'!G23</f>
        <v/>
      </c>
      <c r="D9" s="3" t="inlineStr">
        <is>
          <t>از MVP تا تحویل نهایی</t>
        </is>
      </c>
    </row>
    <row r="10" ht="22" customHeight="1">
      <c r="B10" s="5" t="inlineStr">
        <is>
          <t>مدت کل پروژه (روز)</t>
        </is>
      </c>
      <c r="C10" s="32">
        <f>'گانت چارت'!G42-'تنظیمات'!$C$5</f>
        <v/>
      </c>
      <c r="D10" s="5" t="inlineStr">
        <is>
          <t>از شروع تا پایان</t>
        </is>
      </c>
    </row>
    <row r="11" ht="22" customHeight="1">
      <c r="B11" s="3" t="inlineStr">
        <is>
          <t>تعداد تسک‌های فاز ۱</t>
        </is>
      </c>
      <c r="C11" s="7">
        <f>COUNTIF('گانت چارت'!D6:D42,"فاز ۱")</f>
        <v/>
      </c>
      <c r="D11" s="3" t="inlineStr">
        <is>
          <t>هسته + استاندارد</t>
        </is>
      </c>
    </row>
    <row r="12" ht="22" customHeight="1">
      <c r="B12" s="5" t="inlineStr">
        <is>
          <t>تعداد تسک‌های فاز ۲</t>
        </is>
      </c>
      <c r="C12" s="6">
        <f>COUNTIF('گانت چارت'!D6:D42,"فاز ۲")</f>
        <v/>
      </c>
      <c r="D12" s="5" t="inlineStr">
        <is>
          <t>هوشمند + تست</t>
        </is>
      </c>
    </row>
    <row r="13" ht="22" customHeight="1">
      <c r="B13" s="3" t="inlineStr">
        <is>
          <t>تعداد کل تسک‌ها</t>
        </is>
      </c>
      <c r="C13" s="7" t="n">
        <v>37</v>
      </c>
      <c r="D13" s="3" t="inlineStr">
        <is>
          <t>شامل مایل‌ستون‌ها</t>
        </is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Ymax</dc:creator>
  <dc:title xmlns:dc="http://purl.org/dc/elements/1.1/">گانت چارت پروژه LMS مگفا</dc:title>
  <dcterms:created xmlns:dcterms="http://purl.org/dc/terms/" xmlns:xsi="http://www.w3.org/2001/XMLSchema-instance" xsi:type="dcterms:W3CDTF">2026-09-05T05:47:55Z</dcterms:created>
  <dcterms:modified xmlns:dcterms="http://purl.org/dc/terms/" xmlns:xsi="http://www.w3.org/2001/XMLSchema-instance" xsi:type="dcterms:W3CDTF">2026-09-05T05:47:55Z</dcterms:modified>
</cp:coreProperties>
</file>