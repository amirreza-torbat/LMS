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نظیمات" sheetId="1" state="visible" r:id="rId1"/>
    <sheet xmlns:r="http://schemas.openxmlformats.org/officeDocument/2006/relationships" name="گانت چارت" sheetId="2" state="visible" r:id="rId2"/>
    <sheet xmlns:r="http://schemas.openxmlformats.org/officeDocument/2006/relationships" name="خلاصه" sheetId="3" state="visible" r:id="rId3"/>
  </sheets>
  <definedNames>
    <definedName name="تنظیمات!$C$5">تنظیمات!$C$5</definedName>
    <definedName name="WorkDaysPerWeek">تنظیمات!$C$6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0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b val="1"/>
      <color rgb="001B2A4A"/>
      <sz val="11"/>
    </font>
    <font>
      <name val="Noto Sans CJK SC"/>
      <b val="1"/>
      <color rgb="00D4820A"/>
      <sz val="11"/>
    </font>
    <font>
      <name val="Noto Sans CJK SC"/>
      <color rgb="008C8A84"/>
      <sz val="10"/>
    </font>
    <font>
      <name val="Noto Sans CJK SC"/>
      <b val="1"/>
      <color rgb="001B2A4A"/>
      <sz val="10"/>
    </font>
    <font>
      <name val="Noto Sans CJK SC"/>
      <b val="1"/>
      <color rgb="00FFFFFF"/>
      <sz val="10"/>
    </font>
    <font>
      <name val="Noto Sans CJK SC"/>
      <color rgb="0037352F"/>
      <sz val="10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E1D5E7"/>
      </patternFill>
    </fill>
    <fill>
      <patternFill patternType="solid">
        <fgColor rgb="008E44AD"/>
      </patternFill>
    </fill>
    <fill>
      <patternFill patternType="solid">
        <fgColor rgb="00D4820A"/>
      </patternFill>
    </fill>
    <fill>
      <patternFill patternType="solid">
        <fgColor rgb="0064748B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165" fontId="4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center" vertical="center" wrapText="1"/>
    </xf>
    <xf numFmtId="165" fontId="9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right" vertical="center" wrapText="1"/>
    </xf>
    <xf numFmtId="0" fontId="7" fillId="4" borderId="0" applyAlignment="1" pivotButton="0" quotePrefix="0" xfId="0">
      <alignment horizontal="center" vertical="center" wrapText="1"/>
    </xf>
    <xf numFmtId="165" fontId="9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right" vertical="center" wrapText="1"/>
    </xf>
    <xf numFmtId="165" fontId="7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2" borderId="0" pivotButton="0" quotePrefix="0" xfId="0"/>
    <xf numFmtId="0" fontId="9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165" fontId="4" fillId="4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/>
    </xf>
    <xf numFmtId="1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1B2A4A"/>
        </patternFill>
      </fill>
    </dxf>
    <dxf>
      <fill>
        <patternFill patternType="solid">
          <fgColor rgb="008E44AD"/>
        </patternFill>
      </fill>
    </dxf>
    <dxf>
      <fill>
        <patternFill patternType="solid">
          <fgColor rgb="00D4820A"/>
        </patternFill>
      </fill>
    </dxf>
    <dxf>
      <fill>
        <patternFill patternType="solid">
          <fgColor rgb="0064748B"/>
        </patternFill>
      </fill>
    </dxf>
    <dxf>
      <fill>
        <patternFill patternType="solid">
          <fgColor rgb="00C0392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4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5" customWidth="1" min="2" max="2"/>
    <col width="21" customWidth="1" min="3" max="3"/>
    <col width="45" customWidth="1" min="4" max="4"/>
  </cols>
  <sheetData>
    <row r="1" ht="15" customHeight="1"/>
    <row r="2" ht="32" customHeight="1">
      <c r="B2" s="1" t="inlineStr">
        <is>
          <t>تنظیمات پروژه — قابل ویرایش</t>
        </is>
      </c>
    </row>
    <row r="3" ht="8" customHeight="1"/>
    <row r="4" ht="28" customHeight="1">
      <c r="B4" s="2" t="inlineStr">
        <is>
          <t>پارامتر</t>
        </is>
      </c>
      <c r="C4" s="2" t="inlineStr">
        <is>
          <t>مقدار</t>
        </is>
      </c>
      <c r="D4" s="2" t="inlineStr">
        <is>
          <t>توضیح</t>
        </is>
      </c>
    </row>
    <row r="5" ht="22" customHeight="1">
      <c r="B5" s="3" t="inlineStr">
        <is>
          <t>تاریخ شروع پروژه</t>
        </is>
      </c>
      <c r="C5" s="4" t="n">
        <v>46204</v>
      </c>
      <c r="D5" s="3" t="inlineStr">
        <is>
          <t>تاریخ شروع فاز ۱ (قابل تغییر)</t>
        </is>
      </c>
    </row>
    <row r="6" ht="22" customHeight="1">
      <c r="B6" s="5" t="inlineStr">
        <is>
          <t>روزهای کاری در هفته</t>
        </is>
      </c>
      <c r="C6" s="6" t="n">
        <v>6</v>
      </c>
      <c r="D6" s="5" t="inlineStr">
        <is>
          <t>شنبه تا چهارشنبه (قابل تغییر)</t>
        </is>
      </c>
    </row>
    <row r="7" ht="22" customHeight="1">
      <c r="B7" s="3" t="inlineStr">
        <is>
          <t>فاز ۱ — مدت (روز)</t>
        </is>
      </c>
      <c r="C7" s="7" t="n">
        <v>90</v>
      </c>
      <c r="D7" s="3" t="inlineStr">
        <is>
          <t>هسته + استاندارد سازمانی + استاندارد آکادمیک</t>
        </is>
      </c>
    </row>
    <row r="8" ht="22" customHeight="1">
      <c r="B8" s="5" t="inlineStr">
        <is>
          <t>فاز ۲ — مدت (روز)</t>
        </is>
      </c>
      <c r="C8" s="6" t="n">
        <v>90</v>
      </c>
      <c r="D8" s="5" t="inlineStr">
        <is>
          <t>هوشمند سازمانی + تست + آفتا</t>
        </is>
      </c>
    </row>
    <row r="9" ht="22" customHeight="1">
      <c r="B9" s="3" t="inlineStr">
        <is>
          <t>دوره تست و دیباگ (روز)</t>
        </is>
      </c>
      <c r="C9" s="7" t="n">
        <v>60</v>
      </c>
      <c r="D9" s="3" t="inlineStr">
        <is>
          <t>پس از تحویل فاز ۲</t>
        </is>
      </c>
    </row>
    <row r="10"/>
    <row r="11"/>
    <row r="12">
      <c r="B12" s="8" t="inlineStr">
        <is>
          <t>نکته:</t>
        </is>
      </c>
    </row>
    <row r="13">
      <c r="B13" s="9" t="inlineStr">
        <is>
          <t>با تغییر مقادیر این شیت، گانت چارت به‌صورت خودکار به‌روزرسانی می‌شود.</t>
        </is>
      </c>
    </row>
    <row r="14">
      <c r="B14" s="9" t="inlineStr">
        <is>
          <t>مدت هر تسک در شیت «گانت چارت» قابل ویرایش است و تاریخ‌ها خودکار محاسبه می‌شوند.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O48"/>
  <sheetViews>
    <sheetView showGridLines="0" rightToLeft="1"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10" customWidth="1" min="4" max="4"/>
    <col width="18" customWidth="1" min="5" max="5"/>
    <col width="10" customWidth="1" min="6" max="6"/>
    <col width="14" customWidth="1" min="7" max="7"/>
    <col width="14" customWidth="1" min="8" max="8"/>
    <col width="1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</cols>
  <sheetData>
    <row r="1" ht="15" customHeight="1"/>
    <row r="2" ht="32" customHeight="1">
      <c r="B2" s="1" t="inlineStr">
        <is>
          <t>گانت چارت پروژه LMS مگفا — دو فازی (داینامیک)</t>
        </is>
      </c>
    </row>
    <row r="3" ht="22" customHeight="1">
      <c r="J3" s="10" t="inlineStr">
        <is>
          <t>فاز ۱: هسته + استاندارد</t>
        </is>
      </c>
      <c r="Y3" s="11" t="inlineStr">
        <is>
          <t>فاز ۲: هوشمند + تست + آفتا</t>
        </is>
      </c>
    </row>
    <row r="4" ht="22" customHeight="1">
      <c r="J4" s="12" t="inlineStr">
        <is>
          <t>ماه ۱</t>
        </is>
      </c>
      <c r="N4" s="12" t="inlineStr">
        <is>
          <t>ماه ۲</t>
        </is>
      </c>
      <c r="R4" s="12" t="inlineStr">
        <is>
          <t>ماه ۳</t>
        </is>
      </c>
      <c r="V4" s="12" t="inlineStr">
        <is>
          <t>ماه ۴</t>
        </is>
      </c>
      <c r="Z4" s="12" t="inlineStr">
        <is>
          <t>ماه ۵</t>
        </is>
      </c>
      <c r="AD4" s="12" t="inlineStr">
        <is>
          <t>ماه ۶</t>
        </is>
      </c>
      <c r="AH4" s="12" t="inlineStr">
        <is>
          <t>ماه ۷</t>
        </is>
      </c>
      <c r="AL4" s="12" t="inlineStr">
        <is>
          <t>ماه ۸</t>
        </is>
      </c>
    </row>
    <row r="5" ht="28" customHeight="1">
      <c r="B5" s="2" t="inlineStr">
        <is>
          <t>کد</t>
        </is>
      </c>
      <c r="C5" s="2" t="inlineStr">
        <is>
          <t>نام تسک</t>
        </is>
      </c>
      <c r="D5" s="2" t="inlineStr">
        <is>
          <t>فاز</t>
        </is>
      </c>
      <c r="E5" s="2" t="inlineStr">
        <is>
          <t>لایه</t>
        </is>
      </c>
      <c r="F5" s="2" t="inlineStr">
        <is>
          <t>مدت (روز)</t>
        </is>
      </c>
      <c r="G5" s="2" t="inlineStr">
        <is>
          <t>تاریخ شروع</t>
        </is>
      </c>
      <c r="H5" s="2" t="inlineStr">
        <is>
          <t>تاریخ پایان</t>
        </is>
      </c>
      <c r="I5" s="2" t="inlineStr">
        <is>
          <t>وابستگی</t>
        </is>
      </c>
      <c r="J5" s="2" t="inlineStr">
        <is>
          <t>H1</t>
        </is>
      </c>
      <c r="K5" s="2" t="inlineStr">
        <is>
          <t>H2</t>
        </is>
      </c>
      <c r="L5" s="2" t="inlineStr">
        <is>
          <t>H3</t>
        </is>
      </c>
      <c r="M5" s="2" t="inlineStr">
        <is>
          <t>H4</t>
        </is>
      </c>
      <c r="N5" s="2" t="inlineStr">
        <is>
          <t>H5</t>
        </is>
      </c>
      <c r="O5" s="2" t="inlineStr">
        <is>
          <t>H6</t>
        </is>
      </c>
      <c r="P5" s="2" t="inlineStr">
        <is>
          <t>H7</t>
        </is>
      </c>
      <c r="Q5" s="2" t="inlineStr">
        <is>
          <t>H8</t>
        </is>
      </c>
      <c r="R5" s="2" t="inlineStr">
        <is>
          <t>H9</t>
        </is>
      </c>
      <c r="S5" s="2" t="inlineStr">
        <is>
          <t>H10</t>
        </is>
      </c>
      <c r="T5" s="2" t="inlineStr">
        <is>
          <t>H11</t>
        </is>
      </c>
      <c r="U5" s="2" t="inlineStr">
        <is>
          <t>H12</t>
        </is>
      </c>
      <c r="V5" s="2" t="inlineStr">
        <is>
          <t>H13</t>
        </is>
      </c>
      <c r="W5" s="2" t="inlineStr">
        <is>
          <t>H14</t>
        </is>
      </c>
      <c r="X5" s="2" t="inlineStr">
        <is>
          <t>H15</t>
        </is>
      </c>
      <c r="Y5" s="2" t="inlineStr">
        <is>
          <t>H16</t>
        </is>
      </c>
      <c r="Z5" s="2" t="inlineStr">
        <is>
          <t>H17</t>
        </is>
      </c>
      <c r="AA5" s="2" t="inlineStr">
        <is>
          <t>H18</t>
        </is>
      </c>
      <c r="AB5" s="2" t="inlineStr">
        <is>
          <t>H19</t>
        </is>
      </c>
      <c r="AC5" s="2" t="inlineStr">
        <is>
          <t>H20</t>
        </is>
      </c>
      <c r="AD5" s="2" t="inlineStr">
        <is>
          <t>H21</t>
        </is>
      </c>
      <c r="AE5" s="2" t="inlineStr">
        <is>
          <t>H22</t>
        </is>
      </c>
      <c r="AF5" s="2" t="inlineStr">
        <is>
          <t>H23</t>
        </is>
      </c>
      <c r="AG5" s="2" t="inlineStr">
        <is>
          <t>H24</t>
        </is>
      </c>
      <c r="AH5" s="2" t="inlineStr">
        <is>
          <t>H25</t>
        </is>
      </c>
      <c r="AI5" s="2" t="inlineStr">
        <is>
          <t>H26</t>
        </is>
      </c>
      <c r="AJ5" s="2" t="inlineStr">
        <is>
          <t>H27</t>
        </is>
      </c>
      <c r="AK5" s="2" t="inlineStr">
        <is>
          <t>H28</t>
        </is>
      </c>
      <c r="AL5" s="2" t="inlineStr">
        <is>
          <t>H29</t>
        </is>
      </c>
      <c r="AM5" s="2" t="inlineStr">
        <is>
          <t>H30</t>
        </is>
      </c>
      <c r="AN5" s="2" t="inlineStr">
        <is>
          <t>H31</t>
        </is>
      </c>
      <c r="AO5" s="2" t="inlineStr">
        <is>
          <t>H32</t>
        </is>
      </c>
    </row>
    <row r="6" ht="22" customHeight="1">
      <c r="B6" s="13" t="inlineStr">
        <is>
          <t>P1-01</t>
        </is>
      </c>
      <c r="C6" s="14" t="inlineStr">
        <is>
          <t>تحلیل و طراحی معماری</t>
        </is>
      </c>
      <c r="D6" s="13" t="inlineStr">
        <is>
          <t>فاز ۱</t>
        </is>
      </c>
      <c r="E6" s="13" t="inlineStr">
        <is>
          <t>هسته</t>
        </is>
      </c>
      <c r="F6" s="15" t="n">
        <v>15</v>
      </c>
      <c r="G6" s="16">
        <f>تنظیمات!$C$5</f>
        <v/>
      </c>
      <c r="H6" s="16">
        <f>G6+F6</f>
        <v/>
      </c>
      <c r="I6" s="13" t="inlineStr"/>
    </row>
    <row r="7" ht="22" customHeight="1">
      <c r="B7" s="17" t="inlineStr">
        <is>
          <t>P1-02</t>
        </is>
      </c>
      <c r="C7" s="18" t="inlineStr">
        <is>
          <t>مدیریت هویت و دسترسی (Auth)</t>
        </is>
      </c>
      <c r="D7" s="17" t="inlineStr">
        <is>
          <t>فاز ۱</t>
        </is>
      </c>
      <c r="E7" s="17" t="inlineStr">
        <is>
          <t>هسته</t>
        </is>
      </c>
      <c r="F7" s="19" t="n">
        <v>20</v>
      </c>
      <c r="G7" s="20">
        <f>MAX(H6)</f>
        <v/>
      </c>
      <c r="H7" s="20">
        <f>G7+F7</f>
        <v/>
      </c>
      <c r="I7" s="17" t="inlineStr">
        <is>
          <t>P1-01</t>
        </is>
      </c>
    </row>
    <row r="8" ht="22" customHeight="1">
      <c r="B8" s="13" t="inlineStr">
        <is>
          <t>P1-03</t>
        </is>
      </c>
      <c r="C8" s="14" t="inlineStr">
        <is>
          <t>ساختار محتوا و دوره (Course Entity)</t>
        </is>
      </c>
      <c r="D8" s="13" t="inlineStr">
        <is>
          <t>فاز ۱</t>
        </is>
      </c>
      <c r="E8" s="13" t="inlineStr">
        <is>
          <t>هسته</t>
        </is>
      </c>
      <c r="F8" s="15" t="n">
        <v>20</v>
      </c>
      <c r="G8" s="16">
        <f>MAX(H6)</f>
        <v/>
      </c>
      <c r="H8" s="16">
        <f>G8+F8</f>
        <v/>
      </c>
      <c r="I8" s="13" t="inlineStr">
        <is>
          <t>P1-01</t>
        </is>
      </c>
    </row>
    <row r="9" ht="22" customHeight="1">
      <c r="B9" s="17" t="inlineStr">
        <is>
          <t>P1-04</t>
        </is>
      </c>
      <c r="C9" s="18" t="inlineStr">
        <is>
          <t>زیرساخت ایونت (Event Bus)</t>
        </is>
      </c>
      <c r="D9" s="17" t="inlineStr">
        <is>
          <t>فاز ۱</t>
        </is>
      </c>
      <c r="E9" s="17" t="inlineStr">
        <is>
          <t>هسته</t>
        </is>
      </c>
      <c r="F9" s="19" t="n">
        <v>15</v>
      </c>
      <c r="G9" s="20">
        <f>MAX(H6)</f>
        <v/>
      </c>
      <c r="H9" s="20">
        <f>G9+F9</f>
        <v/>
      </c>
      <c r="I9" s="17" t="inlineStr">
        <is>
          <t>P1-01</t>
        </is>
      </c>
    </row>
    <row r="10" ht="22" customHeight="1">
      <c r="B10" s="13" t="inlineStr">
        <is>
          <t>P1-05</t>
        </is>
      </c>
      <c r="C10" s="14" t="inlineStr">
        <is>
          <t>تنظیمات و هسته مرکزی (Plugin Loader)</t>
        </is>
      </c>
      <c r="D10" s="13" t="inlineStr">
        <is>
          <t>فاز ۱</t>
        </is>
      </c>
      <c r="E10" s="13" t="inlineStr">
        <is>
          <t>هسته</t>
        </is>
      </c>
      <c r="F10" s="15" t="n">
        <v>15</v>
      </c>
      <c r="G10" s="16">
        <f>MAX(H6)</f>
        <v/>
      </c>
      <c r="H10" s="16">
        <f>G10+F10</f>
        <v/>
      </c>
      <c r="I10" s="13" t="inlineStr">
        <is>
          <t>P1-01</t>
        </is>
      </c>
    </row>
    <row r="11" ht="22" customHeight="1">
      <c r="B11" s="17" t="inlineStr">
        <is>
          <t>P1-06</t>
        </is>
      </c>
      <c r="C11" s="18" t="inlineStr">
        <is>
          <t>موتور محتوا (Content Delivery)</t>
        </is>
      </c>
      <c r="D11" s="17" t="inlineStr">
        <is>
          <t>فاز ۱</t>
        </is>
      </c>
      <c r="E11" s="17" t="inlineStr">
        <is>
          <t>هسته</t>
        </is>
      </c>
      <c r="F11" s="19" t="n">
        <v>20</v>
      </c>
      <c r="G11" s="20">
        <f>MAX(H8)</f>
        <v/>
      </c>
      <c r="H11" s="20">
        <f>G11+F11</f>
        <v/>
      </c>
      <c r="I11" s="17" t="inlineStr">
        <is>
          <t>P1-03</t>
        </is>
      </c>
    </row>
    <row r="12" ht="22" customHeight="1">
      <c r="B12" s="13" t="inlineStr">
        <is>
          <t>P1-07</t>
        </is>
      </c>
      <c r="C12" s="14" t="inlineStr">
        <is>
          <t>سیستم ارزیابی (Assessment)</t>
        </is>
      </c>
      <c r="D12" s="13" t="inlineStr">
        <is>
          <t>فاز ۱</t>
        </is>
      </c>
      <c r="E12" s="13" t="inlineStr">
        <is>
          <t>هسته</t>
        </is>
      </c>
      <c r="F12" s="15" t="n">
        <v>20</v>
      </c>
      <c r="G12" s="16">
        <f>MAX(H8)</f>
        <v/>
      </c>
      <c r="H12" s="16">
        <f>G12+F12</f>
        <v/>
      </c>
      <c r="I12" s="13" t="inlineStr">
        <is>
          <t>P1-03</t>
        </is>
      </c>
    </row>
    <row r="13" ht="22" customHeight="1">
      <c r="B13" s="17" t="inlineStr">
        <is>
          <t>P1-08</t>
        </is>
      </c>
      <c r="C13" s="18" t="inlineStr">
        <is>
          <t>صدور گواهی (Certification)</t>
        </is>
      </c>
      <c r="D13" s="17" t="inlineStr">
        <is>
          <t>فاز ۱</t>
        </is>
      </c>
      <c r="E13" s="17" t="inlineStr">
        <is>
          <t>هسته</t>
        </is>
      </c>
      <c r="F13" s="19" t="n">
        <v>15</v>
      </c>
      <c r="G13" s="20">
        <f>MAX(H8)</f>
        <v/>
      </c>
      <c r="H13" s="20">
        <f>G13+F13</f>
        <v/>
      </c>
      <c r="I13" s="17" t="inlineStr">
        <is>
          <t>P1-03</t>
        </is>
      </c>
    </row>
    <row r="14" ht="22" customHeight="1">
      <c r="B14" s="13" t="inlineStr">
        <is>
          <t>P1-09</t>
        </is>
      </c>
      <c r="C14" s="14" t="inlineStr">
        <is>
          <t>داشبورد تعاملی</t>
        </is>
      </c>
      <c r="D14" s="13" t="inlineStr">
        <is>
          <t>فاز ۱</t>
        </is>
      </c>
      <c r="E14" s="13" t="inlineStr">
        <is>
          <t>هسته</t>
        </is>
      </c>
      <c r="F14" s="15" t="n">
        <v>15</v>
      </c>
      <c r="G14" s="16">
        <f>MAX(H7)</f>
        <v/>
      </c>
      <c r="H14" s="16">
        <f>G14+F14</f>
        <v/>
      </c>
      <c r="I14" s="13" t="inlineStr">
        <is>
          <t>P1-02</t>
        </is>
      </c>
    </row>
    <row r="15" ht="22" customHeight="1">
      <c r="B15" s="17" t="inlineStr">
        <is>
          <t>P1-10</t>
        </is>
      </c>
      <c r="C15" s="18" t="inlineStr">
        <is>
          <t>ساختار سازمانی (Hierarchy + RBAC)</t>
        </is>
      </c>
      <c r="D15" s="17" t="inlineStr">
        <is>
          <t>فاز ۱</t>
        </is>
      </c>
      <c r="E15" s="17" t="inlineStr">
        <is>
          <t>سازمانی استاندارد</t>
        </is>
      </c>
      <c r="F15" s="19" t="n">
        <v>20</v>
      </c>
      <c r="G15" s="20">
        <f>MAX(H7)</f>
        <v/>
      </c>
      <c r="H15" s="20">
        <f>G15+F15</f>
        <v/>
      </c>
      <c r="I15" s="17" t="inlineStr">
        <is>
          <t>P1-02</t>
        </is>
      </c>
    </row>
    <row r="16" ht="22" customHeight="1">
      <c r="B16" s="13" t="inlineStr">
        <is>
          <t>P1-11</t>
        </is>
      </c>
      <c r="C16" s="14" t="inlineStr">
        <is>
          <t>مسیر یادگیری و شایستگی</t>
        </is>
      </c>
      <c r="D16" s="13" t="inlineStr">
        <is>
          <t>فاز ۱</t>
        </is>
      </c>
      <c r="E16" s="13" t="inlineStr">
        <is>
          <t>سازمانی استاندارد</t>
        </is>
      </c>
      <c r="F16" s="15" t="n">
        <v>20</v>
      </c>
      <c r="G16" s="16">
        <f>MAX(H15)</f>
        <v/>
      </c>
      <c r="H16" s="16">
        <f>G16+F16</f>
        <v/>
      </c>
      <c r="I16" s="13" t="inlineStr">
        <is>
          <t>P1-10</t>
        </is>
      </c>
    </row>
    <row r="17" ht="22" customHeight="1">
      <c r="B17" s="17" t="inlineStr">
        <is>
          <t>P1-12</t>
        </is>
      </c>
      <c r="C17" s="18" t="inlineStr">
        <is>
          <t>گزارش‌دهی و هوش تجاری (BI)</t>
        </is>
      </c>
      <c r="D17" s="17" t="inlineStr">
        <is>
          <t>فاز ۱</t>
        </is>
      </c>
      <c r="E17" s="17" t="inlineStr">
        <is>
          <t>سازمانی استاندارد</t>
        </is>
      </c>
      <c r="F17" s="19" t="n">
        <v>20</v>
      </c>
      <c r="G17" s="20">
        <f>MAX(H15)</f>
        <v/>
      </c>
      <c r="H17" s="20">
        <f>G17+F17</f>
        <v/>
      </c>
      <c r="I17" s="17" t="inlineStr">
        <is>
          <t>P1-10</t>
        </is>
      </c>
    </row>
    <row r="18" ht="22" customHeight="1">
      <c r="B18" s="13" t="inlineStr">
        <is>
          <t>P1-13</t>
        </is>
      </c>
      <c r="C18" s="14" t="inlineStr">
        <is>
          <t>یکپارچگی HRIS</t>
        </is>
      </c>
      <c r="D18" s="13" t="inlineStr">
        <is>
          <t>فاز ۱</t>
        </is>
      </c>
      <c r="E18" s="13" t="inlineStr">
        <is>
          <t>سازمانی استاندارد</t>
        </is>
      </c>
      <c r="F18" s="15" t="n">
        <v>20</v>
      </c>
      <c r="G18" s="16">
        <f>MAX(H15)</f>
        <v/>
      </c>
      <c r="H18" s="16">
        <f>G18+F18</f>
        <v/>
      </c>
      <c r="I18" s="13" t="inlineStr">
        <is>
          <t>P1-10</t>
        </is>
      </c>
    </row>
    <row r="19" ht="22" customHeight="1">
      <c r="B19" s="17" t="inlineStr">
        <is>
          <t>P1-14</t>
        </is>
      </c>
      <c r="C19" s="18" t="inlineStr">
        <is>
          <t>ساختار ترمیک و تقویم آموزشی</t>
        </is>
      </c>
      <c r="D19" s="17" t="inlineStr">
        <is>
          <t>فاز ۱</t>
        </is>
      </c>
      <c r="E19" s="17" t="inlineStr">
        <is>
          <t>آکادمیک استاندارد</t>
        </is>
      </c>
      <c r="F19" s="19" t="n">
        <v>20</v>
      </c>
      <c r="G19" s="20">
        <f>MAX(H7)</f>
        <v/>
      </c>
      <c r="H19" s="20">
        <f>G19+F19</f>
        <v/>
      </c>
      <c r="I19" s="17" t="inlineStr">
        <is>
          <t>P1-02</t>
        </is>
      </c>
    </row>
    <row r="20" ht="22" customHeight="1">
      <c r="B20" s="13" t="inlineStr">
        <is>
          <t>P1-15</t>
        </is>
      </c>
      <c r="C20" s="14" t="inlineStr">
        <is>
          <t>مدیریت فرایندهای درسی (Rules Engine)</t>
        </is>
      </c>
      <c r="D20" s="13" t="inlineStr">
        <is>
          <t>فاز ۱</t>
        </is>
      </c>
      <c r="E20" s="13" t="inlineStr">
        <is>
          <t>آکادمیک استاندارد</t>
        </is>
      </c>
      <c r="F20" s="15" t="n">
        <v>20</v>
      </c>
      <c r="G20" s="16">
        <f>MAX(H19)</f>
        <v/>
      </c>
      <c r="H20" s="16">
        <f>G20+F20</f>
        <v/>
      </c>
      <c r="I20" s="13" t="inlineStr">
        <is>
          <t>P1-14</t>
        </is>
      </c>
    </row>
    <row r="21" ht="22" customHeight="1">
      <c r="B21" s="17" t="inlineStr">
        <is>
          <t>P1-16</t>
        </is>
      </c>
      <c r="C21" s="18" t="inlineStr">
        <is>
          <t>ارزیابی و کارنامه</t>
        </is>
      </c>
      <c r="D21" s="17" t="inlineStr">
        <is>
          <t>فاز ۱</t>
        </is>
      </c>
      <c r="E21" s="17" t="inlineStr">
        <is>
          <t>آکادمیک استاندارد</t>
        </is>
      </c>
      <c r="F21" s="19" t="n">
        <v>15</v>
      </c>
      <c r="G21" s="20">
        <f>MAX(H19)</f>
        <v/>
      </c>
      <c r="H21" s="20">
        <f>G21+F21</f>
        <v/>
      </c>
      <c r="I21" s="17" t="inlineStr">
        <is>
          <t>P1-14</t>
        </is>
      </c>
    </row>
    <row r="22" ht="22" customHeight="1">
      <c r="B22" s="13" t="inlineStr">
        <is>
          <t>P1-17</t>
        </is>
      </c>
      <c r="C22" s="14" t="inlineStr">
        <is>
          <t>یکپارچگی SIS (گلستان/سجاد)</t>
        </is>
      </c>
      <c r="D22" s="13" t="inlineStr">
        <is>
          <t>فاز ۱</t>
        </is>
      </c>
      <c r="E22" s="13" t="inlineStr">
        <is>
          <t>آکادمیک استاندارد</t>
        </is>
      </c>
      <c r="F22" s="15" t="n">
        <v>25</v>
      </c>
      <c r="G22" s="16">
        <f>MAX(H19)</f>
        <v/>
      </c>
      <c r="H22" s="16">
        <f>G22+F22</f>
        <v/>
      </c>
      <c r="I22" s="13" t="inlineStr">
        <is>
          <t>P1-14</t>
        </is>
      </c>
    </row>
    <row r="23" ht="22" customHeight="1">
      <c r="B23" s="21" t="inlineStr">
        <is>
          <t>M1</t>
        </is>
      </c>
      <c r="C23" s="22" t="inlineStr">
        <is>
          <t>تحویل فاز ۱ — MVP</t>
        </is>
      </c>
      <c r="D23" s="21" t="inlineStr">
        <is>
          <t>فاز ۱</t>
        </is>
      </c>
      <c r="E23" s="21" t="inlineStr">
        <is>
          <t>مایل‌ستون</t>
        </is>
      </c>
      <c r="F23" s="21" t="n">
        <v>0</v>
      </c>
      <c r="G23" s="23">
        <f>MAX(H22)</f>
        <v/>
      </c>
      <c r="H23" s="23">
        <f>G23</f>
        <v/>
      </c>
      <c r="I23" s="21" t="inlineStr">
        <is>
          <t>P1-17</t>
        </is>
      </c>
    </row>
    <row r="24" ht="22" customHeight="1">
      <c r="B24" s="13" t="inlineStr">
        <is>
          <t>P2-01</t>
        </is>
      </c>
      <c r="C24" s="14" t="inlineStr">
        <is>
          <t>موتور امتیازدهی (Point Engine)</t>
        </is>
      </c>
      <c r="D24" s="13" t="inlineStr">
        <is>
          <t>فاز ۲</t>
        </is>
      </c>
      <c r="E24" s="13" t="inlineStr">
        <is>
          <t>گیمیفیکیشن</t>
        </is>
      </c>
      <c r="F24" s="15" t="n">
        <v>15</v>
      </c>
      <c r="G24" s="16">
        <f>MAX(H23)</f>
        <v/>
      </c>
      <c r="H24" s="16">
        <f>G24+F24</f>
        <v/>
      </c>
      <c r="I24" s="13" t="inlineStr">
        <is>
          <t>M1</t>
        </is>
      </c>
    </row>
    <row r="25" ht="22" customHeight="1">
      <c r="B25" s="17" t="inlineStr">
        <is>
          <t>P2-02</t>
        </is>
      </c>
      <c r="C25" s="18" t="inlineStr">
        <is>
          <t>سیستم نشان و دستاورد (Badge)</t>
        </is>
      </c>
      <c r="D25" s="17" t="inlineStr">
        <is>
          <t>فاز ۲</t>
        </is>
      </c>
      <c r="E25" s="17" t="inlineStr">
        <is>
          <t>گیمیفیکیشن</t>
        </is>
      </c>
      <c r="F25" s="19" t="n">
        <v>15</v>
      </c>
      <c r="G25" s="20">
        <f>MAX(H24)</f>
        <v/>
      </c>
      <c r="H25" s="20">
        <f>G25+F25</f>
        <v/>
      </c>
      <c r="I25" s="17" t="inlineStr">
        <is>
          <t>P2-01</t>
        </is>
      </c>
    </row>
    <row r="26" ht="22" customHeight="1">
      <c r="B26" s="13" t="inlineStr">
        <is>
          <t>P2-03</t>
        </is>
      </c>
      <c r="C26" s="14" t="inlineStr">
        <is>
          <t>سطح‌بندی و لیدربورد</t>
        </is>
      </c>
      <c r="D26" s="13" t="inlineStr">
        <is>
          <t>فاز ۲</t>
        </is>
      </c>
      <c r="E26" s="13" t="inlineStr">
        <is>
          <t>گیمیفیکیشن</t>
        </is>
      </c>
      <c r="F26" s="15" t="n">
        <v>15</v>
      </c>
      <c r="G26" s="16">
        <f>MAX(H24)</f>
        <v/>
      </c>
      <c r="H26" s="16">
        <f>G26+F26</f>
        <v/>
      </c>
      <c r="I26" s="13" t="inlineStr">
        <is>
          <t>P2-01</t>
        </is>
      </c>
    </row>
    <row r="27" ht="22" customHeight="1">
      <c r="B27" s="17" t="inlineStr">
        <is>
          <t>P2-04</t>
        </is>
      </c>
      <c r="C27" s="18" t="inlineStr">
        <is>
          <t>قوانین پاداش و شخصی‌سازی</t>
        </is>
      </c>
      <c r="D27" s="17" t="inlineStr">
        <is>
          <t>فاز ۲</t>
        </is>
      </c>
      <c r="E27" s="17" t="inlineStr">
        <is>
          <t>گیمیفیکیشن</t>
        </is>
      </c>
      <c r="F27" s="19" t="n">
        <v>15</v>
      </c>
      <c r="G27" s="20">
        <f>MAX(H24)</f>
        <v/>
      </c>
      <c r="H27" s="20">
        <f>G27+F27</f>
        <v/>
      </c>
      <c r="I27" s="17" t="inlineStr">
        <is>
          <t>P2-01</t>
        </is>
      </c>
    </row>
    <row r="28" ht="22" customHeight="1">
      <c r="B28" s="13" t="inlineStr">
        <is>
          <t>P2-05</t>
        </is>
      </c>
      <c r="C28" s="14" t="inlineStr">
        <is>
          <t>داشبورد و اعلان‌های هوشمند</t>
        </is>
      </c>
      <c r="D28" s="13" t="inlineStr">
        <is>
          <t>فاز ۲</t>
        </is>
      </c>
      <c r="E28" s="13" t="inlineStr">
        <is>
          <t>گیمیفیکیشن</t>
        </is>
      </c>
      <c r="F28" s="15" t="n">
        <v>15</v>
      </c>
      <c r="G28" s="16">
        <f>MAX(H26)</f>
        <v/>
      </c>
      <c r="H28" s="16">
        <f>G28+F28</f>
        <v/>
      </c>
      <c r="I28" s="13" t="inlineStr">
        <is>
          <t>P2-03</t>
        </is>
      </c>
    </row>
    <row r="29" ht="22" customHeight="1">
      <c r="B29" s="17" t="inlineStr">
        <is>
          <t>P2-06</t>
        </is>
      </c>
      <c r="C29" s="18" t="inlineStr">
        <is>
          <t>ضدتقلب و کنترل سوءاستفاده</t>
        </is>
      </c>
      <c r="D29" s="17" t="inlineStr">
        <is>
          <t>فاز ۲</t>
        </is>
      </c>
      <c r="E29" s="17" t="inlineStr">
        <is>
          <t>گیمیفیکیشن</t>
        </is>
      </c>
      <c r="F29" s="19" t="n">
        <v>10</v>
      </c>
      <c r="G29" s="20">
        <f>MAX(H24)</f>
        <v/>
      </c>
      <c r="H29" s="20">
        <f>G29+F29</f>
        <v/>
      </c>
      <c r="I29" s="17" t="inlineStr">
        <is>
          <t>P2-01</t>
        </is>
      </c>
    </row>
    <row r="30" ht="22" customHeight="1">
      <c r="B30" s="13" t="inlineStr">
        <is>
          <t>P2-07</t>
        </is>
      </c>
      <c r="C30" s="14" t="inlineStr">
        <is>
          <t>موتور پیشنهاددهی (Recommender)</t>
        </is>
      </c>
      <c r="D30" s="13" t="inlineStr">
        <is>
          <t>فاز ۲</t>
        </is>
      </c>
      <c r="E30" s="13" t="inlineStr">
        <is>
          <t>هوش مصنوعی</t>
        </is>
      </c>
      <c r="F30" s="15" t="n">
        <v>20</v>
      </c>
      <c r="G30" s="16">
        <f>MAX(H23)</f>
        <v/>
      </c>
      <c r="H30" s="16">
        <f>G30+F30</f>
        <v/>
      </c>
      <c r="I30" s="13" t="inlineStr">
        <is>
          <t>M1</t>
        </is>
      </c>
    </row>
    <row r="31" ht="22" customHeight="1">
      <c r="B31" s="17" t="inlineStr">
        <is>
          <t>P2-08</t>
        </is>
      </c>
      <c r="C31" s="18" t="inlineStr">
        <is>
          <t>تحلیل شکاف مهارتی (Skill-Gap)</t>
        </is>
      </c>
      <c r="D31" s="17" t="inlineStr">
        <is>
          <t>فاز ۲</t>
        </is>
      </c>
      <c r="E31" s="17" t="inlineStr">
        <is>
          <t>هوش مصنوعی</t>
        </is>
      </c>
      <c r="F31" s="19" t="n">
        <v>15</v>
      </c>
      <c r="G31" s="20">
        <f>MAX(H30)</f>
        <v/>
      </c>
      <c r="H31" s="20">
        <f>G31+F31</f>
        <v/>
      </c>
      <c r="I31" s="17" t="inlineStr">
        <is>
          <t>P2-07</t>
        </is>
      </c>
    </row>
    <row r="32" ht="22" customHeight="1">
      <c r="B32" s="13" t="inlineStr">
        <is>
          <t>P2-09</t>
        </is>
      </c>
      <c r="C32" s="14" t="inlineStr">
        <is>
          <t>پشتیبانی هوشمند (AI Tutor/Chatbot)</t>
        </is>
      </c>
      <c r="D32" s="13" t="inlineStr">
        <is>
          <t>فاز ۲</t>
        </is>
      </c>
      <c r="E32" s="13" t="inlineStr">
        <is>
          <t>هوش مصنوعی</t>
        </is>
      </c>
      <c r="F32" s="15" t="n">
        <v>25</v>
      </c>
      <c r="G32" s="16">
        <f>MAX(H23)</f>
        <v/>
      </c>
      <c r="H32" s="16">
        <f>G32+F32</f>
        <v/>
      </c>
      <c r="I32" s="13" t="inlineStr">
        <is>
          <t>M1</t>
        </is>
      </c>
    </row>
    <row r="33" ht="22" customHeight="1">
      <c r="B33" s="17" t="inlineStr">
        <is>
          <t>P2-10</t>
        </is>
      </c>
      <c r="C33" s="18" t="inlineStr">
        <is>
          <t>تشخیص تقلب (Proctoring)</t>
        </is>
      </c>
      <c r="D33" s="17" t="inlineStr">
        <is>
          <t>فاز ۲</t>
        </is>
      </c>
      <c r="E33" s="17" t="inlineStr">
        <is>
          <t>هوش مصنوعی</t>
        </is>
      </c>
      <c r="F33" s="19" t="n">
        <v>20</v>
      </c>
      <c r="G33" s="20">
        <f>MAX(H23)</f>
        <v/>
      </c>
      <c r="H33" s="20">
        <f>G33+F33</f>
        <v/>
      </c>
      <c r="I33" s="17" t="inlineStr">
        <is>
          <t>M1</t>
        </is>
      </c>
    </row>
    <row r="34" ht="22" customHeight="1">
      <c r="B34" s="13" t="inlineStr">
        <is>
          <t>P2-11</t>
        </is>
      </c>
      <c r="C34" s="14" t="inlineStr">
        <is>
          <t>داشبورد پیش‌بینی (Predictive)</t>
        </is>
      </c>
      <c r="D34" s="13" t="inlineStr">
        <is>
          <t>فاز ۲</t>
        </is>
      </c>
      <c r="E34" s="13" t="inlineStr">
        <is>
          <t>هوش مصنوعی</t>
        </is>
      </c>
      <c r="F34" s="15" t="n">
        <v>15</v>
      </c>
      <c r="G34" s="16">
        <f>MAX(H30)</f>
        <v/>
      </c>
      <c r="H34" s="16">
        <f>G34+F34</f>
        <v/>
      </c>
      <c r="I34" s="13" t="inlineStr">
        <is>
          <t>P2-07</t>
        </is>
      </c>
    </row>
    <row r="35" ht="22" customHeight="1">
      <c r="B35" s="17" t="inlineStr">
        <is>
          <t>P2-12</t>
        </is>
      </c>
      <c r="C35" s="18" t="inlineStr">
        <is>
          <t>مدیریت کمیسیون و تسویه حساب</t>
        </is>
      </c>
      <c r="D35" s="17" t="inlineStr">
        <is>
          <t>فاز ۲</t>
        </is>
      </c>
      <c r="E35" s="17" t="inlineStr">
        <is>
          <t>بازار فروش</t>
        </is>
      </c>
      <c r="F35" s="19" t="n">
        <v>15</v>
      </c>
      <c r="G35" s="20">
        <f>MAX(H23)</f>
        <v/>
      </c>
      <c r="H35" s="20">
        <f>G35+F35</f>
        <v/>
      </c>
      <c r="I35" s="17" t="inlineStr">
        <is>
          <t>M1</t>
        </is>
      </c>
    </row>
    <row r="36" ht="22" customHeight="1">
      <c r="B36" s="13" t="inlineStr">
        <is>
          <t>P2-13</t>
        </is>
      </c>
      <c r="C36" s="14" t="inlineStr">
        <is>
          <t>گزارشات فروش و کوپن تخفیف</t>
        </is>
      </c>
      <c r="D36" s="13" t="inlineStr">
        <is>
          <t>فاز ۲</t>
        </is>
      </c>
      <c r="E36" s="13" t="inlineStr">
        <is>
          <t>بازار فروش</t>
        </is>
      </c>
      <c r="F36" s="15" t="n">
        <v>15</v>
      </c>
      <c r="G36" s="16">
        <f>MAX(H35)</f>
        <v/>
      </c>
      <c r="H36" s="16">
        <f>G36+F36</f>
        <v/>
      </c>
      <c r="I36" s="13" t="inlineStr">
        <is>
          <t>P2-12</t>
        </is>
      </c>
    </row>
    <row r="37" ht="22" customHeight="1">
      <c r="B37" s="17" t="inlineStr">
        <is>
          <t>P2-14</t>
        </is>
      </c>
      <c r="C37" s="18" t="inlineStr">
        <is>
          <t>امتیازدهی، سبد خرید و پرداخت</t>
        </is>
      </c>
      <c r="D37" s="17" t="inlineStr">
        <is>
          <t>فاز ۲</t>
        </is>
      </c>
      <c r="E37" s="17" t="inlineStr">
        <is>
          <t>بازار فروش</t>
        </is>
      </c>
      <c r="F37" s="19" t="n">
        <v>20</v>
      </c>
      <c r="G37" s="20">
        <f>MAX(H35)</f>
        <v/>
      </c>
      <c r="H37" s="20">
        <f>G37+F37</f>
        <v/>
      </c>
      <c r="I37" s="17" t="inlineStr">
        <is>
          <t>P2-12</t>
        </is>
      </c>
    </row>
    <row r="38" ht="22" customHeight="1">
      <c r="B38" s="13" t="inlineStr">
        <is>
          <t>P2-15</t>
        </is>
      </c>
      <c r="C38" s="14" t="inlineStr">
        <is>
          <t>جلسات Live و ابزارهای پشتیبانی</t>
        </is>
      </c>
      <c r="D38" s="13" t="inlineStr">
        <is>
          <t>فاز ۲</t>
        </is>
      </c>
      <c r="E38" s="13" t="inlineStr">
        <is>
          <t>بازار فروش</t>
        </is>
      </c>
      <c r="F38" s="15" t="n">
        <v>15</v>
      </c>
      <c r="G38" s="16">
        <f>MAX(H35)</f>
        <v/>
      </c>
      <c r="H38" s="16">
        <f>G38+F38</f>
        <v/>
      </c>
      <c r="I38" s="13" t="inlineStr">
        <is>
          <t>P2-12</t>
        </is>
      </c>
    </row>
    <row r="39" ht="22" customHeight="1">
      <c r="B39" s="17" t="inlineStr">
        <is>
          <t>P2-16</t>
        </is>
      </c>
      <c r="C39" s="18" t="inlineStr">
        <is>
          <t>تست یکپارچگی (Integration Testing)</t>
        </is>
      </c>
      <c r="D39" s="17" t="inlineStr">
        <is>
          <t>فاز ۲</t>
        </is>
      </c>
      <c r="E39" s="17" t="inlineStr">
        <is>
          <t>تست و استقرار</t>
        </is>
      </c>
      <c r="F39" s="19" t="n">
        <v>20</v>
      </c>
      <c r="G39" s="20">
        <f>MAX(H38,H34,H29)</f>
        <v/>
      </c>
      <c r="H39" s="20">
        <f>G39+F39</f>
        <v/>
      </c>
      <c r="I39" s="17" t="inlineStr">
        <is>
          <t>P2-15,P2-11,P2-06</t>
        </is>
      </c>
    </row>
    <row r="40" ht="22" customHeight="1">
      <c r="B40" s="13" t="inlineStr">
        <is>
          <t>P2-17</t>
        </is>
      </c>
      <c r="C40" s="14" t="inlineStr">
        <is>
          <t>تست کاربر (UAT) و رفع اشکال</t>
        </is>
      </c>
      <c r="D40" s="13" t="inlineStr">
        <is>
          <t>فاز ۲</t>
        </is>
      </c>
      <c r="E40" s="13" t="inlineStr">
        <is>
          <t>تست و استقرار</t>
        </is>
      </c>
      <c r="F40" s="15" t="n">
        <v>20</v>
      </c>
      <c r="G40" s="16">
        <f>MAX(H39)</f>
        <v/>
      </c>
      <c r="H40" s="16">
        <f>G40+F40</f>
        <v/>
      </c>
      <c r="I40" s="13" t="inlineStr">
        <is>
          <t>P2-16</t>
        </is>
      </c>
    </row>
    <row r="41" ht="22" customHeight="1">
      <c r="B41" s="17" t="inlineStr">
        <is>
          <t>P2-18</t>
        </is>
      </c>
      <c r="C41" s="18" t="inlineStr">
        <is>
          <t>استقرار و راه‌اندازی نهایی</t>
        </is>
      </c>
      <c r="D41" s="17" t="inlineStr">
        <is>
          <t>فاز ۲</t>
        </is>
      </c>
      <c r="E41" s="17" t="inlineStr">
        <is>
          <t>تست و استقرار</t>
        </is>
      </c>
      <c r="F41" s="19" t="n">
        <v>10</v>
      </c>
      <c r="G41" s="20">
        <f>MAX(H40)</f>
        <v/>
      </c>
      <c r="H41" s="20">
        <f>G41+F41</f>
        <v/>
      </c>
      <c r="I41" s="17" t="inlineStr">
        <is>
          <t>P2-17</t>
        </is>
      </c>
    </row>
    <row r="42" ht="22" customHeight="1">
      <c r="B42" s="13" t="inlineStr">
        <is>
          <t>P2-19</t>
        </is>
      </c>
      <c r="C42" s="14" t="inlineStr">
        <is>
          <t>مستندسازی آفتا</t>
        </is>
      </c>
      <c r="D42" s="13" t="inlineStr">
        <is>
          <t>فاز ۲</t>
        </is>
      </c>
      <c r="E42" s="13" t="inlineStr">
        <is>
          <t>گواهینامه آفتا</t>
        </is>
      </c>
      <c r="F42" s="15" t="n">
        <v>30</v>
      </c>
      <c r="G42" s="16">
        <f>MAX(H23)</f>
        <v/>
      </c>
      <c r="H42" s="16">
        <f>G42+F42</f>
        <v/>
      </c>
      <c r="I42" s="13" t="inlineStr">
        <is>
          <t>M1</t>
        </is>
      </c>
    </row>
    <row r="43" ht="22" customHeight="1">
      <c r="B43" s="17" t="inlineStr">
        <is>
          <t>P2-20</t>
        </is>
      </c>
      <c r="C43" s="18" t="inlineStr">
        <is>
          <t>ممیزی و اصلاحات امنیتی آفتا</t>
        </is>
      </c>
      <c r="D43" s="17" t="inlineStr">
        <is>
          <t>فاز ۲</t>
        </is>
      </c>
      <c r="E43" s="17" t="inlineStr">
        <is>
          <t>گواهینامه آفتا</t>
        </is>
      </c>
      <c r="F43" s="19" t="n">
        <v>20</v>
      </c>
      <c r="G43" s="20">
        <f>MAX(H42)</f>
        <v/>
      </c>
      <c r="H43" s="20">
        <f>G43+F43</f>
        <v/>
      </c>
      <c r="I43" s="17" t="inlineStr">
        <is>
          <t>P2-19</t>
        </is>
      </c>
    </row>
    <row r="44" ht="22" customHeight="1">
      <c r="B44" s="21" t="inlineStr">
        <is>
          <t>M2</t>
        </is>
      </c>
      <c r="C44" s="22" t="inlineStr">
        <is>
          <t>تحویل نهایی پروژه</t>
        </is>
      </c>
      <c r="D44" s="21" t="inlineStr">
        <is>
          <t>فاز ۲</t>
        </is>
      </c>
      <c r="E44" s="21" t="inlineStr">
        <is>
          <t>مایل‌ستون</t>
        </is>
      </c>
      <c r="F44" s="21" t="n">
        <v>0</v>
      </c>
      <c r="G44" s="23">
        <f>MAX(H41,H43)</f>
        <v/>
      </c>
      <c r="H44" s="23">
        <f>G44</f>
        <v/>
      </c>
      <c r="I44" s="21" t="inlineStr">
        <is>
          <t>P2-18,P2-20</t>
        </is>
      </c>
    </row>
    <row r="47">
      <c r="B47" s="24" t="inlineStr">
        <is>
          <t>راهنمای رنگ‌ها:</t>
        </is>
      </c>
    </row>
    <row r="48">
      <c r="B48" s="25" t="n"/>
      <c r="C48" s="26" t="inlineStr">
        <is>
          <t>فاز ۱: هسته + استاندارد</t>
        </is>
      </c>
      <c r="E48" s="27" t="n"/>
      <c r="F48" s="26" t="inlineStr">
        <is>
          <t>فاز ۲: هوشمند (گیمیفیکیشن + AI + بازار)</t>
        </is>
      </c>
      <c r="H48" s="28" t="n"/>
      <c r="I48" s="26" t="inlineStr">
        <is>
          <t>تست و استقرار</t>
        </is>
      </c>
      <c r="K48" s="29" t="n"/>
      <c r="L48" s="26" t="inlineStr">
        <is>
          <t>گواهینامه آفتا</t>
        </is>
      </c>
      <c r="N48" s="30" t="n"/>
      <c r="O48" s="26" t="inlineStr">
        <is>
          <t>مایل‌ستون</t>
        </is>
      </c>
    </row>
  </sheetData>
  <mergeCells count="11">
    <mergeCell ref="J3:X3"/>
    <mergeCell ref="AD4:AG4"/>
    <mergeCell ref="R4:U4"/>
    <mergeCell ref="B2:AO2"/>
    <mergeCell ref="V4:Y4"/>
    <mergeCell ref="J4:M4"/>
    <mergeCell ref="Z4:AC4"/>
    <mergeCell ref="Y3:AO3"/>
    <mergeCell ref="N4:Q4"/>
    <mergeCell ref="AH4:AK4"/>
    <mergeCell ref="AL4:AO4"/>
  </mergeCells>
  <conditionalFormatting sqref="J6:J44">
    <cfRule type="expression" priority="1" dxfId="0">
      <formula>=AND(G6&lt;(تنظیمات!$C$5+7),H6&gt;(تنظیمات!$C$5+0),F6&gt;0)</formula>
    </cfRule>
    <cfRule type="expression" priority="2" dxfId="1">
      <formula>=AND(G6&lt;(تنظیمات!$C$5+7),H6&gt;(تنظیمات!$C$5+0),F6&gt;0,$D6="فاز ۲",$E6&lt;&gt;"تست و استقرار",$E6&lt;&gt;"گواهینامه آفتا")</formula>
    </cfRule>
    <cfRule type="expression" priority="3" dxfId="2">
      <formula>=AND(G6&lt;(تنظیمات!$C$5+7),H6&gt;(تنظیمات!$C$5+0),F6&gt;0,$E6="تست و استقرار")</formula>
    </cfRule>
    <cfRule type="expression" priority="4" dxfId="3">
      <formula>=AND(G6&lt;(تنظیمات!$C$5+7),H6&gt;(تنظیمات!$C$5+0),F6&gt;0,$E6="گواهینامه آفتا")</formula>
    </cfRule>
    <cfRule type="expression" priority="5" dxfId="4">
      <formula>=AND(G6&gt;=(تنظیمات!$C$5+0),G6&lt;=(تنظیمات!$C$5+7),$E6="مایل‌ستون")</formula>
    </cfRule>
  </conditionalFormatting>
  <conditionalFormatting sqref="K6:K44">
    <cfRule type="expression" priority="6" dxfId="0">
      <formula>=AND(G6&lt;(تنظیمات!$C$5+14),H6&gt;(تنظیمات!$C$5+7),F6&gt;0)</formula>
    </cfRule>
    <cfRule type="expression" priority="7" dxfId="1">
      <formula>=AND(G6&lt;(تنظیمات!$C$5+14),H6&gt;(تنظیمات!$C$5+7),F6&gt;0,$D6="فاز ۲",$E6&lt;&gt;"تست و استقرار",$E6&lt;&gt;"گواهینامه آفتا")</formula>
    </cfRule>
    <cfRule type="expression" priority="8" dxfId="2">
      <formula>=AND(G6&lt;(تنظیمات!$C$5+14),H6&gt;(تنظیمات!$C$5+7),F6&gt;0,$E6="تست و استقرار")</formula>
    </cfRule>
    <cfRule type="expression" priority="9" dxfId="3">
      <formula>=AND(G6&lt;(تنظیمات!$C$5+14),H6&gt;(تنظیمات!$C$5+7),F6&gt;0,$E6="گواهینامه آفتا")</formula>
    </cfRule>
    <cfRule type="expression" priority="10" dxfId="4">
      <formula>=AND(G6&gt;=(تنظیمات!$C$5+7),G6&lt;=(تنظیمات!$C$5+14),$E6="مایل‌ستون")</formula>
    </cfRule>
  </conditionalFormatting>
  <conditionalFormatting sqref="L6:L44">
    <cfRule type="expression" priority="11" dxfId="0">
      <formula>=AND(G6&lt;(تنظیمات!$C$5+21),H6&gt;(تنظیمات!$C$5+14),F6&gt;0)</formula>
    </cfRule>
    <cfRule type="expression" priority="12" dxfId="1">
      <formula>=AND(G6&lt;(تنظیمات!$C$5+21),H6&gt;(تنظیمات!$C$5+14),F6&gt;0,$D6="فاز ۲",$E6&lt;&gt;"تست و استقرار",$E6&lt;&gt;"گواهینامه آفتا")</formula>
    </cfRule>
    <cfRule type="expression" priority="13" dxfId="2">
      <formula>=AND(G6&lt;(تنظیمات!$C$5+21),H6&gt;(تنظیمات!$C$5+14),F6&gt;0,$E6="تست و استقرار")</formula>
    </cfRule>
    <cfRule type="expression" priority="14" dxfId="3">
      <formula>=AND(G6&lt;(تنظیمات!$C$5+21),H6&gt;(تنظیمات!$C$5+14),F6&gt;0,$E6="گواهینامه آفتا")</formula>
    </cfRule>
    <cfRule type="expression" priority="15" dxfId="4">
      <formula>=AND(G6&gt;=(تنظیمات!$C$5+14),G6&lt;=(تنظیمات!$C$5+21),$E6="مایل‌ستون")</formula>
    </cfRule>
  </conditionalFormatting>
  <conditionalFormatting sqref="M6:M44">
    <cfRule type="expression" priority="16" dxfId="0">
      <formula>=AND(G6&lt;(تنظیمات!$C$5+28),H6&gt;(تنظیمات!$C$5+21),F6&gt;0)</formula>
    </cfRule>
    <cfRule type="expression" priority="17" dxfId="1">
      <formula>=AND(G6&lt;(تنظیمات!$C$5+28),H6&gt;(تنظیمات!$C$5+21),F6&gt;0,$D6="فاز ۲",$E6&lt;&gt;"تست و استقرار",$E6&lt;&gt;"گواهینامه آفتا")</formula>
    </cfRule>
    <cfRule type="expression" priority="18" dxfId="2">
      <formula>=AND(G6&lt;(تنظیمات!$C$5+28),H6&gt;(تنظیمات!$C$5+21),F6&gt;0,$E6="تست و استقرار")</formula>
    </cfRule>
    <cfRule type="expression" priority="19" dxfId="3">
      <formula>=AND(G6&lt;(تنظیمات!$C$5+28),H6&gt;(تنظیمات!$C$5+21),F6&gt;0,$E6="گواهینامه آفتا")</formula>
    </cfRule>
    <cfRule type="expression" priority="20" dxfId="4">
      <formula>=AND(G6&gt;=(تنظیمات!$C$5+21),G6&lt;=(تنظیمات!$C$5+28),$E6="مایل‌ستون")</formula>
    </cfRule>
  </conditionalFormatting>
  <conditionalFormatting sqref="N6:N44">
    <cfRule type="expression" priority="21" dxfId="0">
      <formula>=AND(G6&lt;(تنظیمات!$C$5+35),H6&gt;(تنظیمات!$C$5+28),F6&gt;0)</formula>
    </cfRule>
    <cfRule type="expression" priority="22" dxfId="1">
      <formula>=AND(G6&lt;(تنظیمات!$C$5+35),H6&gt;(تنظیمات!$C$5+28),F6&gt;0,$D6="فاز ۲",$E6&lt;&gt;"تست و استقرار",$E6&lt;&gt;"گواهینامه آفتا")</formula>
    </cfRule>
    <cfRule type="expression" priority="23" dxfId="2">
      <formula>=AND(G6&lt;(تنظیمات!$C$5+35),H6&gt;(تنظیمات!$C$5+28),F6&gt;0,$E6="تست و استقرار")</formula>
    </cfRule>
    <cfRule type="expression" priority="24" dxfId="3">
      <formula>=AND(G6&lt;(تنظیمات!$C$5+35),H6&gt;(تنظیمات!$C$5+28),F6&gt;0,$E6="گواهینامه آفتا")</formula>
    </cfRule>
    <cfRule type="expression" priority="25" dxfId="4">
      <formula>=AND(G6&gt;=(تنظیمات!$C$5+28),G6&lt;=(تنظیمات!$C$5+35),$E6="مایل‌ستون")</formula>
    </cfRule>
  </conditionalFormatting>
  <conditionalFormatting sqref="O6:O44">
    <cfRule type="expression" priority="26" dxfId="0">
      <formula>=AND(G6&lt;(تنظیمات!$C$5+42),H6&gt;(تنظیمات!$C$5+35),F6&gt;0)</formula>
    </cfRule>
    <cfRule type="expression" priority="27" dxfId="1">
      <formula>=AND(G6&lt;(تنظیمات!$C$5+42),H6&gt;(تنظیمات!$C$5+35),F6&gt;0,$D6="فاز ۲",$E6&lt;&gt;"تست و استقرار",$E6&lt;&gt;"گواهینامه آفتا")</formula>
    </cfRule>
    <cfRule type="expression" priority="28" dxfId="2">
      <formula>=AND(G6&lt;(تنظیمات!$C$5+42),H6&gt;(تنظیمات!$C$5+35),F6&gt;0,$E6="تست و استقرار")</formula>
    </cfRule>
    <cfRule type="expression" priority="29" dxfId="3">
      <formula>=AND(G6&lt;(تنظیمات!$C$5+42),H6&gt;(تنظیمات!$C$5+35),F6&gt;0,$E6="گواهینامه آفتا")</formula>
    </cfRule>
    <cfRule type="expression" priority="30" dxfId="4">
      <formula>=AND(G6&gt;=(تنظیمات!$C$5+35),G6&lt;=(تنظیمات!$C$5+42),$E6="مایل‌ستون")</formula>
    </cfRule>
  </conditionalFormatting>
  <conditionalFormatting sqref="P6:P44">
    <cfRule type="expression" priority="31" dxfId="0">
      <formula>=AND(G6&lt;(تنظیمات!$C$5+49),H6&gt;(تنظیمات!$C$5+42),F6&gt;0)</formula>
    </cfRule>
    <cfRule type="expression" priority="32" dxfId="1">
      <formula>=AND(G6&lt;(تنظیمات!$C$5+49),H6&gt;(تنظیمات!$C$5+42),F6&gt;0,$D6="فاز ۲",$E6&lt;&gt;"تست و استقرار",$E6&lt;&gt;"گواهینامه آفتا")</formula>
    </cfRule>
    <cfRule type="expression" priority="33" dxfId="2">
      <formula>=AND(G6&lt;(تنظیمات!$C$5+49),H6&gt;(تنظیمات!$C$5+42),F6&gt;0,$E6="تست و استقرار")</formula>
    </cfRule>
    <cfRule type="expression" priority="34" dxfId="3">
      <formula>=AND(G6&lt;(تنظیمات!$C$5+49),H6&gt;(تنظیمات!$C$5+42),F6&gt;0,$E6="گواهینامه آفتا")</formula>
    </cfRule>
    <cfRule type="expression" priority="35" dxfId="4">
      <formula>=AND(G6&gt;=(تنظیمات!$C$5+42),G6&lt;=(تنظیمات!$C$5+49),$E6="مایل‌ستون")</formula>
    </cfRule>
  </conditionalFormatting>
  <conditionalFormatting sqref="Q6:Q44">
    <cfRule type="expression" priority="36" dxfId="0">
      <formula>=AND(G6&lt;(تنظیمات!$C$5+56),H6&gt;(تنظیمات!$C$5+49),F6&gt;0)</formula>
    </cfRule>
    <cfRule type="expression" priority="37" dxfId="1">
      <formula>=AND(G6&lt;(تنظیمات!$C$5+56),H6&gt;(تنظیمات!$C$5+49),F6&gt;0,$D6="فاز ۲",$E6&lt;&gt;"تست و استقرار",$E6&lt;&gt;"گواهینامه آفتا")</formula>
    </cfRule>
    <cfRule type="expression" priority="38" dxfId="2">
      <formula>=AND(G6&lt;(تنظیمات!$C$5+56),H6&gt;(تنظیمات!$C$5+49),F6&gt;0,$E6="تست و استقرار")</formula>
    </cfRule>
    <cfRule type="expression" priority="39" dxfId="3">
      <formula>=AND(G6&lt;(تنظیمات!$C$5+56),H6&gt;(تنظیمات!$C$5+49),F6&gt;0,$E6="گواهینامه آفتا")</formula>
    </cfRule>
    <cfRule type="expression" priority="40" dxfId="4">
      <formula>=AND(G6&gt;=(تنظیمات!$C$5+49),G6&lt;=(تنظیمات!$C$5+56),$E6="مایل‌ستون")</formula>
    </cfRule>
  </conditionalFormatting>
  <conditionalFormatting sqref="R6:R44">
    <cfRule type="expression" priority="41" dxfId="0">
      <formula>=AND(G6&lt;(تنظیمات!$C$5+63),H6&gt;(تنظیمات!$C$5+56),F6&gt;0)</formula>
    </cfRule>
    <cfRule type="expression" priority="42" dxfId="1">
      <formula>=AND(G6&lt;(تنظیمات!$C$5+63),H6&gt;(تنظیمات!$C$5+56),F6&gt;0,$D6="فاز ۲",$E6&lt;&gt;"تست و استقرار",$E6&lt;&gt;"گواهینامه آفتا")</formula>
    </cfRule>
    <cfRule type="expression" priority="43" dxfId="2">
      <formula>=AND(G6&lt;(تنظیمات!$C$5+63),H6&gt;(تنظیمات!$C$5+56),F6&gt;0,$E6="تست و استقرار")</formula>
    </cfRule>
    <cfRule type="expression" priority="44" dxfId="3">
      <formula>=AND(G6&lt;(تنظیمات!$C$5+63),H6&gt;(تنظیمات!$C$5+56),F6&gt;0,$E6="گواهینامه آفتا")</formula>
    </cfRule>
    <cfRule type="expression" priority="45" dxfId="4">
      <formula>=AND(G6&gt;=(تنظیمات!$C$5+56),G6&lt;=(تنظیمات!$C$5+63),$E6="مایل‌ستون")</formula>
    </cfRule>
  </conditionalFormatting>
  <conditionalFormatting sqref="S6:S44">
    <cfRule type="expression" priority="46" dxfId="0">
      <formula>=AND(G6&lt;(تنظیمات!$C$5+70),H6&gt;(تنظیمات!$C$5+63),F6&gt;0)</formula>
    </cfRule>
    <cfRule type="expression" priority="47" dxfId="1">
      <formula>=AND(G6&lt;(تنظیمات!$C$5+70),H6&gt;(تنظیمات!$C$5+63),F6&gt;0,$D6="فاز ۲",$E6&lt;&gt;"تست و استقرار",$E6&lt;&gt;"گواهینامه آفتا")</formula>
    </cfRule>
    <cfRule type="expression" priority="48" dxfId="2">
      <formula>=AND(G6&lt;(تنظیمات!$C$5+70),H6&gt;(تنظیمات!$C$5+63),F6&gt;0,$E6="تست و استقرار")</formula>
    </cfRule>
    <cfRule type="expression" priority="49" dxfId="3">
      <formula>=AND(G6&lt;(تنظیمات!$C$5+70),H6&gt;(تنظیمات!$C$5+63),F6&gt;0,$E6="گواهینامه آفتا")</formula>
    </cfRule>
    <cfRule type="expression" priority="50" dxfId="4">
      <formula>=AND(G6&gt;=(تنظیمات!$C$5+63),G6&lt;=(تنظیمات!$C$5+70),$E6="مایل‌ستون")</formula>
    </cfRule>
  </conditionalFormatting>
  <conditionalFormatting sqref="T6:T44">
    <cfRule type="expression" priority="51" dxfId="0">
      <formula>=AND(G6&lt;(تنظیمات!$C$5+77),H6&gt;(تنظیمات!$C$5+70),F6&gt;0)</formula>
    </cfRule>
    <cfRule type="expression" priority="52" dxfId="1">
      <formula>=AND(G6&lt;(تنظیمات!$C$5+77),H6&gt;(تنظیمات!$C$5+70),F6&gt;0,$D6="فاز ۲",$E6&lt;&gt;"تست و استقرار",$E6&lt;&gt;"گواهینامه آفتا")</formula>
    </cfRule>
    <cfRule type="expression" priority="53" dxfId="2">
      <formula>=AND(G6&lt;(تنظیمات!$C$5+77),H6&gt;(تنظیمات!$C$5+70),F6&gt;0,$E6="تست و استقرار")</formula>
    </cfRule>
    <cfRule type="expression" priority="54" dxfId="3">
      <formula>=AND(G6&lt;(تنظیمات!$C$5+77),H6&gt;(تنظیمات!$C$5+70),F6&gt;0,$E6="گواهینامه آفتا")</formula>
    </cfRule>
    <cfRule type="expression" priority="55" dxfId="4">
      <formula>=AND(G6&gt;=(تنظیمات!$C$5+70),G6&lt;=(تنظیمات!$C$5+77),$E6="مایل‌ستون")</formula>
    </cfRule>
  </conditionalFormatting>
  <conditionalFormatting sqref="U6:U44">
    <cfRule type="expression" priority="56" dxfId="0">
      <formula>=AND(G6&lt;(تنظیمات!$C$5+84),H6&gt;(تنظیمات!$C$5+77),F6&gt;0)</formula>
    </cfRule>
    <cfRule type="expression" priority="57" dxfId="1">
      <formula>=AND(G6&lt;(تنظیمات!$C$5+84),H6&gt;(تنظیمات!$C$5+77),F6&gt;0,$D6="فاز ۲",$E6&lt;&gt;"تست و استقرار",$E6&lt;&gt;"گواهینامه آفتا")</formula>
    </cfRule>
    <cfRule type="expression" priority="58" dxfId="2">
      <formula>=AND(G6&lt;(تنظیمات!$C$5+84),H6&gt;(تنظیمات!$C$5+77),F6&gt;0,$E6="تست و استقرار")</formula>
    </cfRule>
    <cfRule type="expression" priority="59" dxfId="3">
      <formula>=AND(G6&lt;(تنظیمات!$C$5+84),H6&gt;(تنظیمات!$C$5+77),F6&gt;0,$E6="گواهینامه آفتا")</formula>
    </cfRule>
    <cfRule type="expression" priority="60" dxfId="4">
      <formula>=AND(G6&gt;=(تنظیمات!$C$5+77),G6&lt;=(تنظیمات!$C$5+84),$E6="مایل‌ستون")</formula>
    </cfRule>
  </conditionalFormatting>
  <conditionalFormatting sqref="V6:V44">
    <cfRule type="expression" priority="61" dxfId="0">
      <formula>=AND(G6&lt;(تنظیمات!$C$5+91),H6&gt;(تنظیمات!$C$5+84),F6&gt;0)</formula>
    </cfRule>
    <cfRule type="expression" priority="62" dxfId="1">
      <formula>=AND(G6&lt;(تنظیمات!$C$5+91),H6&gt;(تنظیمات!$C$5+84),F6&gt;0,$D6="فاز ۲",$E6&lt;&gt;"تست و استقرار",$E6&lt;&gt;"گواهینامه آفتا")</formula>
    </cfRule>
    <cfRule type="expression" priority="63" dxfId="2">
      <formula>=AND(G6&lt;(تنظیمات!$C$5+91),H6&gt;(تنظیمات!$C$5+84),F6&gt;0,$E6="تست و استقرار")</formula>
    </cfRule>
    <cfRule type="expression" priority="64" dxfId="3">
      <formula>=AND(G6&lt;(تنظیمات!$C$5+91),H6&gt;(تنظیمات!$C$5+84),F6&gt;0,$E6="گواهینامه آفتا")</formula>
    </cfRule>
    <cfRule type="expression" priority="65" dxfId="4">
      <formula>=AND(G6&gt;=(تنظیمات!$C$5+84),G6&lt;=(تنظیمات!$C$5+91),$E6="مایل‌ستون")</formula>
    </cfRule>
  </conditionalFormatting>
  <conditionalFormatting sqref="W6:W44">
    <cfRule type="expression" priority="66" dxfId="0">
      <formula>=AND(G6&lt;(تنظیمات!$C$5+98),H6&gt;(تنظیمات!$C$5+91),F6&gt;0)</formula>
    </cfRule>
    <cfRule type="expression" priority="67" dxfId="1">
      <formula>=AND(G6&lt;(تنظیمات!$C$5+98),H6&gt;(تنظیمات!$C$5+91),F6&gt;0,$D6="فاز ۲",$E6&lt;&gt;"تست و استقرار",$E6&lt;&gt;"گواهینامه آفتا")</formula>
    </cfRule>
    <cfRule type="expression" priority="68" dxfId="2">
      <formula>=AND(G6&lt;(تنظیمات!$C$5+98),H6&gt;(تنظیمات!$C$5+91),F6&gt;0,$E6="تست و استقرار")</formula>
    </cfRule>
    <cfRule type="expression" priority="69" dxfId="3">
      <formula>=AND(G6&lt;(تنظیمات!$C$5+98),H6&gt;(تنظیمات!$C$5+91),F6&gt;0,$E6="گواهینامه آفتا")</formula>
    </cfRule>
    <cfRule type="expression" priority="70" dxfId="4">
      <formula>=AND(G6&gt;=(تنظیمات!$C$5+91),G6&lt;=(تنظیمات!$C$5+98),$E6="مایل‌ستون")</formula>
    </cfRule>
  </conditionalFormatting>
  <conditionalFormatting sqref="X6:X44">
    <cfRule type="expression" priority="71" dxfId="0">
      <formula>=AND(G6&lt;(تنظیمات!$C$5+105),H6&gt;(تنظیمات!$C$5+98),F6&gt;0)</formula>
    </cfRule>
    <cfRule type="expression" priority="72" dxfId="1">
      <formula>=AND(G6&lt;(تنظیمات!$C$5+105),H6&gt;(تنظیمات!$C$5+98),F6&gt;0,$D6="فاز ۲",$E6&lt;&gt;"تست و استقرار",$E6&lt;&gt;"گواهینامه آفتا")</formula>
    </cfRule>
    <cfRule type="expression" priority="73" dxfId="2">
      <formula>=AND(G6&lt;(تنظیمات!$C$5+105),H6&gt;(تنظیمات!$C$5+98),F6&gt;0,$E6="تست و استقرار")</formula>
    </cfRule>
    <cfRule type="expression" priority="74" dxfId="3">
      <formula>=AND(G6&lt;(تنظیمات!$C$5+105),H6&gt;(تنظیمات!$C$5+98),F6&gt;0,$E6="گواهینامه آفتا")</formula>
    </cfRule>
    <cfRule type="expression" priority="75" dxfId="4">
      <formula>=AND(G6&gt;=(تنظیمات!$C$5+98),G6&lt;=(تنظیمات!$C$5+105),$E6="مایل‌ستون")</formula>
    </cfRule>
  </conditionalFormatting>
  <conditionalFormatting sqref="Y6:Y44">
    <cfRule type="expression" priority="76" dxfId="0">
      <formula>=AND(G6&lt;(تنظیمات!$C$5+112),H6&gt;(تنظیمات!$C$5+105),F6&gt;0)</formula>
    </cfRule>
    <cfRule type="expression" priority="77" dxfId="1">
      <formula>=AND(G6&lt;(تنظیمات!$C$5+112),H6&gt;(تنظیمات!$C$5+105),F6&gt;0,$D6="فاز ۲",$E6&lt;&gt;"تست و استقرار",$E6&lt;&gt;"گواهینامه آفتا")</formula>
    </cfRule>
    <cfRule type="expression" priority="78" dxfId="2">
      <formula>=AND(G6&lt;(تنظیمات!$C$5+112),H6&gt;(تنظیمات!$C$5+105),F6&gt;0,$E6="تست و استقرار")</formula>
    </cfRule>
    <cfRule type="expression" priority="79" dxfId="3">
      <formula>=AND(G6&lt;(تنظیمات!$C$5+112),H6&gt;(تنظیمات!$C$5+105),F6&gt;0,$E6="گواهینامه آفتا")</formula>
    </cfRule>
    <cfRule type="expression" priority="80" dxfId="4">
      <formula>=AND(G6&gt;=(تنظیمات!$C$5+105),G6&lt;=(تنظیمات!$C$5+112),$E6="مایل‌ستون")</formula>
    </cfRule>
  </conditionalFormatting>
  <conditionalFormatting sqref="Z6:Z44">
    <cfRule type="expression" priority="81" dxfId="0">
      <formula>=AND(G6&lt;(تنظیمات!$C$5+119),H6&gt;(تنظیمات!$C$5+112),F6&gt;0)</formula>
    </cfRule>
    <cfRule type="expression" priority="82" dxfId="1">
      <formula>=AND(G6&lt;(تنظیمات!$C$5+119),H6&gt;(تنظیمات!$C$5+112),F6&gt;0,$D6="فاز ۲",$E6&lt;&gt;"تست و استقرار",$E6&lt;&gt;"گواهینامه آفتا")</formula>
    </cfRule>
    <cfRule type="expression" priority="83" dxfId="2">
      <formula>=AND(G6&lt;(تنظیمات!$C$5+119),H6&gt;(تنظیمات!$C$5+112),F6&gt;0,$E6="تست و استقرار")</formula>
    </cfRule>
    <cfRule type="expression" priority="84" dxfId="3">
      <formula>=AND(G6&lt;(تنظیمات!$C$5+119),H6&gt;(تنظیمات!$C$5+112),F6&gt;0,$E6="گواهینامه آفتا")</formula>
    </cfRule>
    <cfRule type="expression" priority="85" dxfId="4">
      <formula>=AND(G6&gt;=(تنظیمات!$C$5+112),G6&lt;=(تنظیمات!$C$5+119),$E6="مایل‌ستون")</formula>
    </cfRule>
  </conditionalFormatting>
  <conditionalFormatting sqref="AA6:AA44">
    <cfRule type="expression" priority="86" dxfId="0">
      <formula>=AND(G6&lt;(تنظیمات!$C$5+126),H6&gt;(تنظیمات!$C$5+119),F6&gt;0)</formula>
    </cfRule>
    <cfRule type="expression" priority="87" dxfId="1">
      <formula>=AND(G6&lt;(تنظیمات!$C$5+126),H6&gt;(تنظیمات!$C$5+119),F6&gt;0,$D6="فاز ۲",$E6&lt;&gt;"تست و استقرار",$E6&lt;&gt;"گواهینامه آفتا")</formula>
    </cfRule>
    <cfRule type="expression" priority="88" dxfId="2">
      <formula>=AND(G6&lt;(تنظیمات!$C$5+126),H6&gt;(تنظیمات!$C$5+119),F6&gt;0,$E6="تست و استقرار")</formula>
    </cfRule>
    <cfRule type="expression" priority="89" dxfId="3">
      <formula>=AND(G6&lt;(تنظیمات!$C$5+126),H6&gt;(تنظیمات!$C$5+119),F6&gt;0,$E6="گواهینامه آفتا")</formula>
    </cfRule>
    <cfRule type="expression" priority="90" dxfId="4">
      <formula>=AND(G6&gt;=(تنظیمات!$C$5+119),G6&lt;=(تنظیمات!$C$5+126),$E6="مایل‌ستون")</formula>
    </cfRule>
  </conditionalFormatting>
  <conditionalFormatting sqref="AB6:AB44">
    <cfRule type="expression" priority="91" dxfId="0">
      <formula>=AND(G6&lt;(تنظیمات!$C$5+133),H6&gt;(تنظیمات!$C$5+126),F6&gt;0)</formula>
    </cfRule>
    <cfRule type="expression" priority="92" dxfId="1">
      <formula>=AND(G6&lt;(تنظیمات!$C$5+133),H6&gt;(تنظیمات!$C$5+126),F6&gt;0,$D6="فاز ۲",$E6&lt;&gt;"تست و استقرار",$E6&lt;&gt;"گواهینامه آفتا")</formula>
    </cfRule>
    <cfRule type="expression" priority="93" dxfId="2">
      <formula>=AND(G6&lt;(تنظیمات!$C$5+133),H6&gt;(تنظیمات!$C$5+126),F6&gt;0,$E6="تست و استقرار")</formula>
    </cfRule>
    <cfRule type="expression" priority="94" dxfId="3">
      <formula>=AND(G6&lt;(تنظیمات!$C$5+133),H6&gt;(تنظیمات!$C$5+126),F6&gt;0,$E6="گواهینامه آفتا")</formula>
    </cfRule>
    <cfRule type="expression" priority="95" dxfId="4">
      <formula>=AND(G6&gt;=(تنظیمات!$C$5+126),G6&lt;=(تنظیمات!$C$5+133),$E6="مایل‌ستون")</formula>
    </cfRule>
  </conditionalFormatting>
  <conditionalFormatting sqref="AC6:AC44">
    <cfRule type="expression" priority="96" dxfId="0">
      <formula>=AND(G6&lt;(تنظیمات!$C$5+140),H6&gt;(تنظیمات!$C$5+133),F6&gt;0)</formula>
    </cfRule>
    <cfRule type="expression" priority="97" dxfId="1">
      <formula>=AND(G6&lt;(تنظیمات!$C$5+140),H6&gt;(تنظیمات!$C$5+133),F6&gt;0,$D6="فاز ۲",$E6&lt;&gt;"تست و استقرار",$E6&lt;&gt;"گواهینامه آفتا")</formula>
    </cfRule>
    <cfRule type="expression" priority="98" dxfId="2">
      <formula>=AND(G6&lt;(تنظیمات!$C$5+140),H6&gt;(تنظیمات!$C$5+133),F6&gt;0,$E6="تست و استقرار")</formula>
    </cfRule>
    <cfRule type="expression" priority="99" dxfId="3">
      <formula>=AND(G6&lt;(تنظیمات!$C$5+140),H6&gt;(تنظیمات!$C$5+133),F6&gt;0,$E6="گواهینامه آفتا")</formula>
    </cfRule>
    <cfRule type="expression" priority="100" dxfId="4">
      <formula>=AND(G6&gt;=(تنظیمات!$C$5+133),G6&lt;=(تنظیمات!$C$5+140),$E6="مایل‌ستون")</formula>
    </cfRule>
  </conditionalFormatting>
  <conditionalFormatting sqref="AD6:AD44">
    <cfRule type="expression" priority="101" dxfId="0">
      <formula>=AND(G6&lt;(تنظیمات!$C$5+147),H6&gt;(تنظیمات!$C$5+140),F6&gt;0)</formula>
    </cfRule>
    <cfRule type="expression" priority="102" dxfId="1">
      <formula>=AND(G6&lt;(تنظیمات!$C$5+147),H6&gt;(تنظیمات!$C$5+140),F6&gt;0,$D6="فاز ۲",$E6&lt;&gt;"تست و استقرار",$E6&lt;&gt;"گواهینامه آفتا")</formula>
    </cfRule>
    <cfRule type="expression" priority="103" dxfId="2">
      <formula>=AND(G6&lt;(تنظیمات!$C$5+147),H6&gt;(تنظیمات!$C$5+140),F6&gt;0,$E6="تست و استقرار")</formula>
    </cfRule>
    <cfRule type="expression" priority="104" dxfId="3">
      <formula>=AND(G6&lt;(تنظیمات!$C$5+147),H6&gt;(تنظیمات!$C$5+140),F6&gt;0,$E6="گواهینامه آفتا")</formula>
    </cfRule>
    <cfRule type="expression" priority="105" dxfId="4">
      <formula>=AND(G6&gt;=(تنظیمات!$C$5+140),G6&lt;=(تنظیمات!$C$5+147),$E6="مایل‌ستون")</formula>
    </cfRule>
  </conditionalFormatting>
  <conditionalFormatting sqref="AE6:AE44">
    <cfRule type="expression" priority="106" dxfId="0">
      <formula>=AND(G6&lt;(تنظیمات!$C$5+154),H6&gt;(تنظیمات!$C$5+147),F6&gt;0)</formula>
    </cfRule>
    <cfRule type="expression" priority="107" dxfId="1">
      <formula>=AND(G6&lt;(تنظیمات!$C$5+154),H6&gt;(تنظیمات!$C$5+147),F6&gt;0,$D6="فاز ۲",$E6&lt;&gt;"تست و استقرار",$E6&lt;&gt;"گواهینامه آفتا")</formula>
    </cfRule>
    <cfRule type="expression" priority="108" dxfId="2">
      <formula>=AND(G6&lt;(تنظیمات!$C$5+154),H6&gt;(تنظیمات!$C$5+147),F6&gt;0,$E6="تست و استقرار")</formula>
    </cfRule>
    <cfRule type="expression" priority="109" dxfId="3">
      <formula>=AND(G6&lt;(تنظیمات!$C$5+154),H6&gt;(تنظیمات!$C$5+147),F6&gt;0,$E6="گواهینامه آفتا")</formula>
    </cfRule>
    <cfRule type="expression" priority="110" dxfId="4">
      <formula>=AND(G6&gt;=(تنظیمات!$C$5+147),G6&lt;=(تنظیمات!$C$5+154),$E6="مایل‌ستون")</formula>
    </cfRule>
  </conditionalFormatting>
  <conditionalFormatting sqref="AF6:AF44">
    <cfRule type="expression" priority="111" dxfId="0">
      <formula>=AND(G6&lt;(تنظیمات!$C$5+161),H6&gt;(تنظیمات!$C$5+154),F6&gt;0)</formula>
    </cfRule>
    <cfRule type="expression" priority="112" dxfId="1">
      <formula>=AND(G6&lt;(تنظیمات!$C$5+161),H6&gt;(تنظیمات!$C$5+154),F6&gt;0,$D6="فاز ۲",$E6&lt;&gt;"تست و استقرار",$E6&lt;&gt;"گواهینامه آفتا")</formula>
    </cfRule>
    <cfRule type="expression" priority="113" dxfId="2">
      <formula>=AND(G6&lt;(تنظیمات!$C$5+161),H6&gt;(تنظیمات!$C$5+154),F6&gt;0,$E6="تست و استقرار")</formula>
    </cfRule>
    <cfRule type="expression" priority="114" dxfId="3">
      <formula>=AND(G6&lt;(تنظیمات!$C$5+161),H6&gt;(تنظیمات!$C$5+154),F6&gt;0,$E6="گواهینامه آفتا")</formula>
    </cfRule>
    <cfRule type="expression" priority="115" dxfId="4">
      <formula>=AND(G6&gt;=(تنظیمات!$C$5+154),G6&lt;=(تنظیمات!$C$5+161),$E6="مایل‌ستون")</formula>
    </cfRule>
  </conditionalFormatting>
  <conditionalFormatting sqref="AG6:AG44">
    <cfRule type="expression" priority="116" dxfId="0">
      <formula>=AND(G6&lt;(تنظیمات!$C$5+168),H6&gt;(تنظیمات!$C$5+161),F6&gt;0)</formula>
    </cfRule>
    <cfRule type="expression" priority="117" dxfId="1">
      <formula>=AND(G6&lt;(تنظیمات!$C$5+168),H6&gt;(تنظیمات!$C$5+161),F6&gt;0,$D6="فاز ۲",$E6&lt;&gt;"تست و استقرار",$E6&lt;&gt;"گواهینامه آفتا")</formula>
    </cfRule>
    <cfRule type="expression" priority="118" dxfId="2">
      <formula>=AND(G6&lt;(تنظیمات!$C$5+168),H6&gt;(تنظیمات!$C$5+161),F6&gt;0,$E6="تست و استقرار")</formula>
    </cfRule>
    <cfRule type="expression" priority="119" dxfId="3">
      <formula>=AND(G6&lt;(تنظیمات!$C$5+168),H6&gt;(تنظیمات!$C$5+161),F6&gt;0,$E6="گواهینامه آفتا")</formula>
    </cfRule>
    <cfRule type="expression" priority="120" dxfId="4">
      <formula>=AND(G6&gt;=(تنظیمات!$C$5+161),G6&lt;=(تنظیمات!$C$5+168),$E6="مایل‌ستون")</formula>
    </cfRule>
  </conditionalFormatting>
  <conditionalFormatting sqref="AH6:AH44">
    <cfRule type="expression" priority="121" dxfId="0">
      <formula>=AND(G6&lt;(تنظیمات!$C$5+175),H6&gt;(تنظیمات!$C$5+168),F6&gt;0)</formula>
    </cfRule>
    <cfRule type="expression" priority="122" dxfId="1">
      <formula>=AND(G6&lt;(تنظیمات!$C$5+175),H6&gt;(تنظیمات!$C$5+168),F6&gt;0,$D6="فاز ۲",$E6&lt;&gt;"تست و استقرار",$E6&lt;&gt;"گواهینامه آفتا")</formula>
    </cfRule>
    <cfRule type="expression" priority="123" dxfId="2">
      <formula>=AND(G6&lt;(تنظیمات!$C$5+175),H6&gt;(تنظیمات!$C$5+168),F6&gt;0,$E6="تست و استقرار")</formula>
    </cfRule>
    <cfRule type="expression" priority="124" dxfId="3">
      <formula>=AND(G6&lt;(تنظیمات!$C$5+175),H6&gt;(تنظیمات!$C$5+168),F6&gt;0,$E6="گواهینامه آفتا")</formula>
    </cfRule>
    <cfRule type="expression" priority="125" dxfId="4">
      <formula>=AND(G6&gt;=(تنظیمات!$C$5+168),G6&lt;=(تنظیمات!$C$5+175),$E6="مایل‌ستون")</formula>
    </cfRule>
  </conditionalFormatting>
  <conditionalFormatting sqref="AI6:AI44">
    <cfRule type="expression" priority="126" dxfId="0">
      <formula>=AND(G6&lt;(تنظیمات!$C$5+182),H6&gt;(تنظیمات!$C$5+175),F6&gt;0)</formula>
    </cfRule>
    <cfRule type="expression" priority="127" dxfId="1">
      <formula>=AND(G6&lt;(تنظیمات!$C$5+182),H6&gt;(تنظیمات!$C$5+175),F6&gt;0,$D6="فاز ۲",$E6&lt;&gt;"تست و استقرار",$E6&lt;&gt;"گواهینامه آفتا")</formula>
    </cfRule>
    <cfRule type="expression" priority="128" dxfId="2">
      <formula>=AND(G6&lt;(تنظیمات!$C$5+182),H6&gt;(تنظیمات!$C$5+175),F6&gt;0,$E6="تست و استقرار")</formula>
    </cfRule>
    <cfRule type="expression" priority="129" dxfId="3">
      <formula>=AND(G6&lt;(تنظیمات!$C$5+182),H6&gt;(تنظیمات!$C$5+175),F6&gt;0,$E6="گواهینامه آفتا")</formula>
    </cfRule>
    <cfRule type="expression" priority="130" dxfId="4">
      <formula>=AND(G6&gt;=(تنظیمات!$C$5+175),G6&lt;=(تنظیمات!$C$5+182),$E6="مایل‌ستون")</formula>
    </cfRule>
  </conditionalFormatting>
  <conditionalFormatting sqref="AJ6:AJ44">
    <cfRule type="expression" priority="131" dxfId="0">
      <formula>=AND(G6&lt;(تنظیمات!$C$5+189),H6&gt;(تنظیمات!$C$5+182),F6&gt;0)</formula>
    </cfRule>
    <cfRule type="expression" priority="132" dxfId="1">
      <formula>=AND(G6&lt;(تنظیمات!$C$5+189),H6&gt;(تنظیمات!$C$5+182),F6&gt;0,$D6="فاز ۲",$E6&lt;&gt;"تست و استقرار",$E6&lt;&gt;"گواهینامه آفتا")</formula>
    </cfRule>
    <cfRule type="expression" priority="133" dxfId="2">
      <formula>=AND(G6&lt;(تنظیمات!$C$5+189),H6&gt;(تنظیمات!$C$5+182),F6&gt;0,$E6="تست و استقرار")</formula>
    </cfRule>
    <cfRule type="expression" priority="134" dxfId="3">
      <formula>=AND(G6&lt;(تنظیمات!$C$5+189),H6&gt;(تنظیمات!$C$5+182),F6&gt;0,$E6="گواهینامه آفتا")</formula>
    </cfRule>
    <cfRule type="expression" priority="135" dxfId="4">
      <formula>=AND(G6&gt;=(تنظیمات!$C$5+182),G6&lt;=(تنظیمات!$C$5+189),$E6="مایل‌ستون")</formula>
    </cfRule>
  </conditionalFormatting>
  <conditionalFormatting sqref="AK6:AK44">
    <cfRule type="expression" priority="136" dxfId="0">
      <formula>=AND(G6&lt;(تنظیمات!$C$5+196),H6&gt;(تنظیمات!$C$5+189),F6&gt;0)</formula>
    </cfRule>
    <cfRule type="expression" priority="137" dxfId="1">
      <formula>=AND(G6&lt;(تنظیمات!$C$5+196),H6&gt;(تنظیمات!$C$5+189),F6&gt;0,$D6="فاز ۲",$E6&lt;&gt;"تست و استقرار",$E6&lt;&gt;"گواهینامه آفتا")</formula>
    </cfRule>
    <cfRule type="expression" priority="138" dxfId="2">
      <formula>=AND(G6&lt;(تنظیمات!$C$5+196),H6&gt;(تنظیمات!$C$5+189),F6&gt;0,$E6="تست و استقرار")</formula>
    </cfRule>
    <cfRule type="expression" priority="139" dxfId="3">
      <formula>=AND(G6&lt;(تنظیمات!$C$5+196),H6&gt;(تنظیمات!$C$5+189),F6&gt;0,$E6="گواهینامه آفتا")</formula>
    </cfRule>
    <cfRule type="expression" priority="140" dxfId="4">
      <formula>=AND(G6&gt;=(تنظیمات!$C$5+189),G6&lt;=(تنظیمات!$C$5+196),$E6="مایل‌ستون")</formula>
    </cfRule>
  </conditionalFormatting>
  <conditionalFormatting sqref="AL6:AL44">
    <cfRule type="expression" priority="141" dxfId="0">
      <formula>=AND(G6&lt;(تنظیمات!$C$5+203),H6&gt;(تنظیمات!$C$5+196),F6&gt;0)</formula>
    </cfRule>
    <cfRule type="expression" priority="142" dxfId="1">
      <formula>=AND(G6&lt;(تنظیمات!$C$5+203),H6&gt;(تنظیمات!$C$5+196),F6&gt;0,$D6="فاز ۲",$E6&lt;&gt;"تست و استقرار",$E6&lt;&gt;"گواهینامه آفتا")</formula>
    </cfRule>
    <cfRule type="expression" priority="143" dxfId="2">
      <formula>=AND(G6&lt;(تنظیمات!$C$5+203),H6&gt;(تنظیمات!$C$5+196),F6&gt;0,$E6="تست و استقرار")</formula>
    </cfRule>
    <cfRule type="expression" priority="144" dxfId="3">
      <formula>=AND(G6&lt;(تنظیمات!$C$5+203),H6&gt;(تنظیمات!$C$5+196),F6&gt;0,$E6="گواهینامه آفتا")</formula>
    </cfRule>
    <cfRule type="expression" priority="145" dxfId="4">
      <formula>=AND(G6&gt;=(تنظیمات!$C$5+196),G6&lt;=(تنظیمات!$C$5+203),$E6="مایل‌ستون")</formula>
    </cfRule>
  </conditionalFormatting>
  <conditionalFormatting sqref="AM6:AM44">
    <cfRule type="expression" priority="146" dxfId="0">
      <formula>=AND(G6&lt;(تنظیمات!$C$5+210),H6&gt;(تنظیمات!$C$5+203),F6&gt;0)</formula>
    </cfRule>
    <cfRule type="expression" priority="147" dxfId="1">
      <formula>=AND(G6&lt;(تنظیمات!$C$5+210),H6&gt;(تنظیمات!$C$5+203),F6&gt;0,$D6="فاز ۲",$E6&lt;&gt;"تست و استقرار",$E6&lt;&gt;"گواهینامه آفتا")</formula>
    </cfRule>
    <cfRule type="expression" priority="148" dxfId="2">
      <formula>=AND(G6&lt;(تنظیمات!$C$5+210),H6&gt;(تنظیمات!$C$5+203),F6&gt;0,$E6="تست و استقرار")</formula>
    </cfRule>
    <cfRule type="expression" priority="149" dxfId="3">
      <formula>=AND(G6&lt;(تنظیمات!$C$5+210),H6&gt;(تنظیمات!$C$5+203),F6&gt;0,$E6="گواهینامه آفتا")</formula>
    </cfRule>
    <cfRule type="expression" priority="150" dxfId="4">
      <formula>=AND(G6&gt;=(تنظیمات!$C$5+203),G6&lt;=(تنظیمات!$C$5+210),$E6="مایل‌ستون")</formula>
    </cfRule>
  </conditionalFormatting>
  <conditionalFormatting sqref="AN6:AN44">
    <cfRule type="expression" priority="151" dxfId="0">
      <formula>=AND(G6&lt;(تنظیمات!$C$5+217),H6&gt;(تنظیمات!$C$5+210),F6&gt;0)</formula>
    </cfRule>
    <cfRule type="expression" priority="152" dxfId="1">
      <formula>=AND(G6&lt;(تنظیمات!$C$5+217),H6&gt;(تنظیمات!$C$5+210),F6&gt;0,$D6="فاز ۲",$E6&lt;&gt;"تست و استقرار",$E6&lt;&gt;"گواهینامه آفتا")</formula>
    </cfRule>
    <cfRule type="expression" priority="153" dxfId="2">
      <formula>=AND(G6&lt;(تنظیمات!$C$5+217),H6&gt;(تنظیمات!$C$5+210),F6&gt;0,$E6="تست و استقرار")</formula>
    </cfRule>
    <cfRule type="expression" priority="154" dxfId="3">
      <formula>=AND(G6&lt;(تنظیمات!$C$5+217),H6&gt;(تنظیمات!$C$5+210),F6&gt;0,$E6="گواهینامه آفتا")</formula>
    </cfRule>
    <cfRule type="expression" priority="155" dxfId="4">
      <formula>=AND(G6&gt;=(تنظیمات!$C$5+210),G6&lt;=(تنظیمات!$C$5+217),$E6="مایل‌ستون")</formula>
    </cfRule>
  </conditionalFormatting>
  <conditionalFormatting sqref="AO6:AO44">
    <cfRule type="expression" priority="156" dxfId="0">
      <formula>=AND(G6&lt;(تنظیمات!$C$5+224),H6&gt;(تنظیمات!$C$5+217),F6&gt;0)</formula>
    </cfRule>
    <cfRule type="expression" priority="157" dxfId="1">
      <formula>=AND(G6&lt;(تنظیمات!$C$5+224),H6&gt;(تنظیمات!$C$5+217),F6&gt;0,$D6="فاز ۲",$E6&lt;&gt;"تست و استقرار",$E6&lt;&gt;"گواهینامه آفتا")</formula>
    </cfRule>
    <cfRule type="expression" priority="158" dxfId="2">
      <formula>=AND(G6&lt;(تنظیمات!$C$5+224),H6&gt;(تنظیمات!$C$5+217),F6&gt;0,$E6="تست و استقرار")</formula>
    </cfRule>
    <cfRule type="expression" priority="159" dxfId="3">
      <formula>=AND(G6&lt;(تنظیمات!$C$5+224),H6&gt;(تنظیمات!$C$5+217),F6&gt;0,$E6="گواهینامه آفتا")</formula>
    </cfRule>
    <cfRule type="expression" priority="160" dxfId="4">
      <formula>=AND(G6&gt;=(تنظیمات!$C$5+217),G6&lt;=(تنظیمات!$C$5+224),$E6="مایل‌ستون")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3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7" customWidth="1" min="2" max="2"/>
    <col width="38" customWidth="1" min="3" max="3"/>
    <col width="36" customWidth="1" min="4" max="4"/>
  </cols>
  <sheetData>
    <row r="1" ht="15" customHeight="1"/>
    <row r="2" ht="32" customHeight="1">
      <c r="B2" s="1" t="inlineStr">
        <is>
          <t>خلاصه زمان‌بندی پروژه</t>
        </is>
      </c>
    </row>
    <row r="3" ht="8" customHeight="1"/>
    <row r="4" ht="28" customHeight="1">
      <c r="B4" s="2" t="inlineStr">
        <is>
          <t>شاخص</t>
        </is>
      </c>
      <c r="C4" s="2" t="inlineStr">
        <is>
          <t>مقدار</t>
        </is>
      </c>
      <c r="D4" s="2" t="inlineStr">
        <is>
          <t>توضیح</t>
        </is>
      </c>
    </row>
    <row r="5" ht="22" customHeight="1">
      <c r="B5" s="3" t="inlineStr">
        <is>
          <t>تاریخ شروع پروژه</t>
        </is>
      </c>
      <c r="C5" s="4">
        <f>تنظیمات!$C$5</f>
        <v/>
      </c>
      <c r="D5" s="3" t="inlineStr">
        <is>
          <t>شروع فاز ۱</t>
        </is>
      </c>
    </row>
    <row r="6" ht="22" customHeight="1">
      <c r="B6" s="5" t="inlineStr">
        <is>
          <t>تاریخ تحویل MVP (فاز ۱)</t>
        </is>
      </c>
      <c r="C6" s="31">
        <f>'گانت چارت'!G23</f>
        <v/>
      </c>
      <c r="D6" s="5" t="inlineStr">
        <is>
          <t>پایان فاز ۱ — تحویل نسخه استاندارد</t>
        </is>
      </c>
    </row>
    <row r="7" ht="22" customHeight="1">
      <c r="B7" s="3" t="inlineStr">
        <is>
          <t>تاریخ تحویل نهایی (فاز ۲)</t>
        </is>
      </c>
      <c r="C7" s="4">
        <f>'گانت چارت'!G44</f>
        <v/>
      </c>
      <c r="D7" s="3" t="inlineStr">
        <is>
          <t>پایان فاز ۲ — تحویل نسخه هوشمند</t>
        </is>
      </c>
    </row>
    <row r="8" ht="22" customHeight="1">
      <c r="B8" s="5" t="inlineStr">
        <is>
          <t>مدت فاز ۱ (روز)</t>
        </is>
      </c>
      <c r="C8" s="32">
        <f>'گانت چارت'!G23-تنظیمات!$C$5</f>
        <v/>
      </c>
      <c r="D8" s="5" t="inlineStr">
        <is>
          <t>از شروع تا MVP</t>
        </is>
      </c>
    </row>
    <row r="9" ht="22" customHeight="1">
      <c r="B9" s="3" t="inlineStr">
        <is>
          <t>مدت فاز ۲ (روز)</t>
        </is>
      </c>
      <c r="C9" s="33">
        <f>'گانت چارت'!G44-'گانت چارت'!G23</f>
        <v/>
      </c>
      <c r="D9" s="3" t="inlineStr">
        <is>
          <t>از MVP تا تحویل نهایی</t>
        </is>
      </c>
    </row>
    <row r="10" ht="22" customHeight="1">
      <c r="B10" s="5" t="inlineStr">
        <is>
          <t>مدت کل پروژه (روز)</t>
        </is>
      </c>
      <c r="C10" s="32">
        <f>'گانت چارت'!G44-تنظیمات!$C$5</f>
        <v/>
      </c>
      <c r="D10" s="5" t="inlineStr">
        <is>
          <t>از شروع تا پایان</t>
        </is>
      </c>
    </row>
    <row r="11" ht="22" customHeight="1">
      <c r="B11" s="3" t="inlineStr">
        <is>
          <t>تعداد تسک‌های فاز ۱</t>
        </is>
      </c>
      <c r="C11" s="7">
        <f>COUNTIF('گانت چارت'!D6:D44,"فاز ۱")</f>
        <v/>
      </c>
      <c r="D11" s="3" t="inlineStr">
        <is>
          <t>هسته + استاندارد</t>
        </is>
      </c>
    </row>
    <row r="12" ht="22" customHeight="1">
      <c r="B12" s="5" t="inlineStr">
        <is>
          <t>تعداد تسک‌های فاز ۲</t>
        </is>
      </c>
      <c r="C12" s="6">
        <f>COUNTIF('گانت چارت'!D6:D44,"فاز ۲")</f>
        <v/>
      </c>
      <c r="D12" s="5" t="inlineStr">
        <is>
          <t>هوشمند + تست + آفتا</t>
        </is>
      </c>
    </row>
    <row r="13" ht="22" customHeight="1">
      <c r="B13" s="3" t="inlineStr">
        <is>
          <t>تعداد کل تسک‌ها</t>
        </is>
      </c>
      <c r="C13" s="7" t="n">
        <v>39</v>
      </c>
      <c r="D13" s="3" t="inlineStr">
        <is>
          <t>شامل مایل‌ستون‌ها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Ymax</dc:creator>
  <dc:title xmlns:dc="http://purl.org/dc/elements/1.1/">گانت چارت پروژه LMS مگفا</dc:title>
  <dc:subject xmlns:dc="http://purl.org/dc/elements/1.1/">برنامه زمان‌بندی دو فازی پروژه</dc:subject>
  <dcterms:created xmlns:dcterms="http://purl.org/dc/terms/" xmlns:xsi="http://www.w3.org/2001/XMLSchema-instance" xsi:type="dcterms:W3CDTF">2026-09-04T15:03:25Z</dcterms:created>
  <dcterms:modified xmlns:dcterms="http://purl.org/dc/terms/" xmlns:xsi="http://www.w3.org/2001/XMLSchema-instance" xsi:type="dcterms:W3CDTF">2026-09-04T15:03:25Z</dcterms:modified>
</cp:coreProperties>
</file>